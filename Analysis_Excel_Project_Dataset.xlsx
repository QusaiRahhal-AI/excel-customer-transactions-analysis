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8b9d58883d66fd0/Desktop/"/>
    </mc:Choice>
  </mc:AlternateContent>
  <xr:revisionPtr revIDLastSave="550" documentId="8_{76E703F1-B069-43B8-9D53-5BE8975385A0}" xr6:coauthVersionLast="47" xr6:coauthVersionMax="47" xr10:uidLastSave="{74552B4F-2078-4CFB-81D0-72006518AB2D}"/>
  <bookViews>
    <workbookView xWindow="-108" yWindow="-108" windowWidth="23256" windowHeight="12456" firstSheet="1" activeTab="3" xr2:uid="{00000000-000D-0000-FFFF-FFFF00000000}"/>
  </bookViews>
  <sheets>
    <sheet name="Project Summary" sheetId="15" r:id="rId1"/>
    <sheet name="Pivot Table" sheetId="8" r:id="rId2"/>
    <sheet name="Pivot Chart" sheetId="19" r:id="rId3"/>
    <sheet name="Bank_Transactions" sheetId="1" r:id="rId4"/>
    <sheet name="Branch_Summary" sheetId="2" r:id="rId5"/>
  </sheets>
  <definedNames>
    <definedName name="_xlnm._FilterDatabase" localSheetId="3" hidden="1">Bank_Transactions!$A$1:$L$240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5" l="1"/>
  <c r="C23" i="15"/>
  <c r="C22" i="15"/>
  <c r="C21" i="15"/>
  <c r="C20" i="15"/>
  <c r="D17" i="15"/>
  <c r="D16" i="15"/>
  <c r="D15" i="15"/>
  <c r="L2" i="1"/>
  <c r="O7" i="1"/>
  <c r="O6" i="1"/>
  <c r="O5" i="1"/>
  <c r="O4" i="1"/>
  <c r="O3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" i="1"/>
  <c r="I168" i="1"/>
  <c r="I214" i="1"/>
  <c r="I74" i="1"/>
  <c r="I190" i="1"/>
  <c r="I75" i="1"/>
  <c r="I104" i="1"/>
  <c r="I191" i="1"/>
  <c r="I32" i="1"/>
  <c r="I139" i="1"/>
  <c r="I192" i="1"/>
  <c r="I76" i="1"/>
  <c r="I169" i="1"/>
  <c r="I193" i="1"/>
  <c r="I194" i="1"/>
  <c r="I48" i="1"/>
  <c r="I215" i="1"/>
  <c r="I2" i="1"/>
  <c r="I216" i="1"/>
  <c r="I77" i="1"/>
  <c r="I217" i="1"/>
  <c r="I33" i="1"/>
  <c r="I3" i="1"/>
  <c r="I49" i="1"/>
  <c r="I34" i="1"/>
  <c r="I4" i="1"/>
  <c r="I105" i="1"/>
  <c r="I78" i="1"/>
  <c r="I125" i="1"/>
  <c r="I195" i="1"/>
  <c r="I140" i="1"/>
  <c r="I79" i="1"/>
  <c r="I50" i="1"/>
  <c r="I218" i="1"/>
  <c r="I106" i="1"/>
  <c r="I170" i="1"/>
  <c r="I35" i="1"/>
  <c r="I5" i="1"/>
  <c r="I219" i="1"/>
  <c r="I51" i="1"/>
  <c r="I220" i="1"/>
  <c r="I196" i="1"/>
  <c r="I141" i="1"/>
  <c r="I221" i="1"/>
  <c r="I197" i="1"/>
  <c r="I6" i="1"/>
  <c r="I36" i="1"/>
  <c r="I52" i="1"/>
  <c r="I80" i="1"/>
  <c r="I142" i="1"/>
  <c r="I143" i="1"/>
  <c r="I53" i="1"/>
  <c r="I222" i="1"/>
  <c r="I144" i="1"/>
  <c r="I54" i="1"/>
  <c r="I145" i="1"/>
  <c r="I37" i="1"/>
  <c r="I107" i="1"/>
  <c r="I146" i="1"/>
  <c r="I55" i="1"/>
  <c r="I198" i="1"/>
  <c r="I147" i="1"/>
  <c r="I81" i="1"/>
  <c r="I171" i="1"/>
  <c r="I148" i="1"/>
  <c r="I7" i="1"/>
  <c r="I172" i="1"/>
  <c r="I223" i="1"/>
  <c r="I56" i="1"/>
  <c r="I8" i="1"/>
  <c r="I199" i="1"/>
  <c r="I108" i="1"/>
  <c r="I200" i="1"/>
  <c r="I82" i="1"/>
  <c r="I149" i="1"/>
  <c r="I224" i="1"/>
  <c r="I126" i="1"/>
  <c r="I83" i="1"/>
  <c r="I84" i="1"/>
  <c r="I225" i="1"/>
  <c r="I150" i="1"/>
  <c r="I38" i="1"/>
  <c r="I173" i="1"/>
  <c r="I174" i="1"/>
  <c r="I109" i="1"/>
  <c r="I57" i="1"/>
  <c r="I110" i="1"/>
  <c r="I58" i="1"/>
  <c r="I111" i="1"/>
  <c r="I151" i="1"/>
  <c r="I175" i="1"/>
  <c r="I226" i="1"/>
  <c r="I85" i="1"/>
  <c r="I127" i="1"/>
  <c r="I128" i="1"/>
  <c r="I112" i="1"/>
  <c r="I176" i="1"/>
  <c r="I152" i="1"/>
  <c r="I227" i="1"/>
  <c r="I153" i="1"/>
  <c r="I113" i="1"/>
  <c r="I114" i="1"/>
  <c r="I86" i="1"/>
  <c r="I87" i="1"/>
  <c r="I9" i="1"/>
  <c r="I88" i="1"/>
  <c r="I10" i="1"/>
  <c r="I89" i="1"/>
  <c r="I129" i="1"/>
  <c r="I90" i="1"/>
  <c r="I59" i="1"/>
  <c r="I228" i="1"/>
  <c r="I130" i="1"/>
  <c r="I115" i="1"/>
  <c r="I60" i="1"/>
  <c r="I116" i="1"/>
  <c r="I229" i="1"/>
  <c r="I11" i="1"/>
  <c r="I177" i="1"/>
  <c r="I12" i="1"/>
  <c r="I91" i="1"/>
  <c r="I201" i="1"/>
  <c r="I178" i="1"/>
  <c r="I131" i="1"/>
  <c r="I92" i="1"/>
  <c r="I230" i="1"/>
  <c r="I39" i="1"/>
  <c r="I13" i="1"/>
  <c r="I40" i="1"/>
  <c r="I61" i="1"/>
  <c r="I132" i="1"/>
  <c r="I14" i="1"/>
  <c r="I133" i="1"/>
  <c r="I154" i="1"/>
  <c r="I117" i="1"/>
  <c r="I202" i="1"/>
  <c r="I93" i="1"/>
  <c r="I15" i="1"/>
  <c r="I203" i="1"/>
  <c r="I204" i="1"/>
  <c r="I134" i="1"/>
  <c r="I231" i="1"/>
  <c r="I62" i="1"/>
  <c r="I155" i="1"/>
  <c r="I179" i="1"/>
  <c r="I41" i="1"/>
  <c r="I180" i="1"/>
  <c r="I205" i="1"/>
  <c r="I63" i="1"/>
  <c r="I16" i="1"/>
  <c r="I206" i="1"/>
  <c r="I42" i="1"/>
  <c r="I17" i="1"/>
  <c r="I64" i="1"/>
  <c r="I156" i="1"/>
  <c r="I181" i="1"/>
  <c r="I182" i="1"/>
  <c r="I65" i="1"/>
  <c r="I232" i="1"/>
  <c r="I18" i="1"/>
  <c r="I207" i="1"/>
  <c r="I233" i="1"/>
  <c r="I118" i="1"/>
  <c r="I19" i="1"/>
  <c r="I234" i="1"/>
  <c r="I66" i="1"/>
  <c r="I208" i="1"/>
  <c r="I235" i="1"/>
  <c r="I157" i="1"/>
  <c r="I183" i="1"/>
  <c r="I94" i="1"/>
  <c r="I20" i="1"/>
  <c r="I119" i="1"/>
  <c r="I158" i="1"/>
  <c r="I236" i="1"/>
  <c r="I184" i="1"/>
  <c r="I21" i="1"/>
  <c r="I185" i="1"/>
  <c r="I67" i="1"/>
  <c r="I209" i="1"/>
  <c r="I186" i="1"/>
  <c r="I120" i="1"/>
  <c r="I237" i="1"/>
  <c r="I22" i="1"/>
  <c r="I121" i="1"/>
  <c r="I68" i="1"/>
  <c r="I122" i="1"/>
  <c r="I210" i="1"/>
  <c r="I95" i="1"/>
  <c r="I23" i="1"/>
  <c r="I96" i="1"/>
  <c r="I97" i="1"/>
  <c r="I98" i="1"/>
  <c r="I69" i="1"/>
  <c r="I99" i="1"/>
  <c r="I70" i="1"/>
  <c r="I135" i="1"/>
  <c r="I159" i="1"/>
  <c r="I43" i="1"/>
  <c r="I160" i="1"/>
  <c r="I100" i="1"/>
  <c r="I161" i="1"/>
  <c r="I162" i="1"/>
  <c r="I24" i="1"/>
  <c r="I123" i="1"/>
  <c r="I163" i="1"/>
  <c r="I25" i="1"/>
  <c r="I124" i="1"/>
  <c r="I136" i="1"/>
  <c r="I71" i="1"/>
  <c r="I26" i="1"/>
  <c r="I137" i="1"/>
  <c r="I211" i="1"/>
  <c r="I187" i="1"/>
  <c r="I188" i="1"/>
  <c r="I72" i="1"/>
  <c r="I27" i="1"/>
  <c r="I28" i="1"/>
  <c r="I101" i="1"/>
  <c r="I29" i="1"/>
  <c r="I30" i="1"/>
  <c r="I44" i="1"/>
  <c r="I102" i="1"/>
  <c r="I45" i="1"/>
  <c r="I46" i="1"/>
  <c r="I212" i="1"/>
  <c r="I73" i="1"/>
  <c r="I164" i="1"/>
  <c r="I165" i="1"/>
  <c r="I189" i="1"/>
  <c r="I166" i="1"/>
  <c r="I238" i="1"/>
  <c r="I47" i="1"/>
  <c r="I239" i="1"/>
  <c r="I167" i="1"/>
  <c r="I213" i="1"/>
  <c r="I240" i="1"/>
  <c r="I31" i="1"/>
  <c r="I138" i="1"/>
  <c r="I103" i="1"/>
  <c r="H168" i="1"/>
  <c r="H214" i="1"/>
  <c r="H74" i="1"/>
  <c r="H190" i="1"/>
  <c r="H75" i="1"/>
  <c r="H104" i="1"/>
  <c r="H191" i="1"/>
  <c r="H32" i="1"/>
  <c r="H139" i="1"/>
  <c r="H192" i="1"/>
  <c r="H76" i="1"/>
  <c r="H169" i="1"/>
  <c r="H193" i="1"/>
  <c r="H194" i="1"/>
  <c r="H48" i="1"/>
  <c r="H215" i="1"/>
  <c r="H2" i="1"/>
  <c r="H216" i="1"/>
  <c r="H77" i="1"/>
  <c r="H217" i="1"/>
  <c r="H33" i="1"/>
  <c r="H3" i="1"/>
  <c r="H49" i="1"/>
  <c r="H34" i="1"/>
  <c r="H4" i="1"/>
  <c r="H105" i="1"/>
  <c r="H78" i="1"/>
  <c r="H125" i="1"/>
  <c r="H195" i="1"/>
  <c r="H140" i="1"/>
  <c r="H79" i="1"/>
  <c r="H50" i="1"/>
  <c r="H218" i="1"/>
  <c r="H106" i="1"/>
  <c r="H170" i="1"/>
  <c r="H35" i="1"/>
  <c r="H5" i="1"/>
  <c r="H219" i="1"/>
  <c r="H51" i="1"/>
  <c r="H220" i="1"/>
  <c r="H196" i="1"/>
  <c r="H141" i="1"/>
  <c r="H221" i="1"/>
  <c r="H197" i="1"/>
  <c r="H6" i="1"/>
  <c r="H36" i="1"/>
  <c r="H52" i="1"/>
  <c r="H80" i="1"/>
  <c r="H142" i="1"/>
  <c r="H143" i="1"/>
  <c r="H53" i="1"/>
  <c r="H222" i="1"/>
  <c r="H144" i="1"/>
  <c r="H54" i="1"/>
  <c r="H145" i="1"/>
  <c r="H37" i="1"/>
  <c r="H107" i="1"/>
  <c r="H146" i="1"/>
  <c r="H55" i="1"/>
  <c r="H198" i="1"/>
  <c r="H147" i="1"/>
  <c r="H81" i="1"/>
  <c r="H171" i="1"/>
  <c r="H148" i="1"/>
  <c r="H7" i="1"/>
  <c r="H172" i="1"/>
  <c r="H223" i="1"/>
  <c r="H56" i="1"/>
  <c r="H8" i="1"/>
  <c r="H199" i="1"/>
  <c r="H108" i="1"/>
  <c r="H200" i="1"/>
  <c r="H82" i="1"/>
  <c r="H149" i="1"/>
  <c r="H224" i="1"/>
  <c r="H126" i="1"/>
  <c r="H83" i="1"/>
  <c r="H84" i="1"/>
  <c r="H225" i="1"/>
  <c r="H150" i="1"/>
  <c r="H38" i="1"/>
  <c r="H173" i="1"/>
  <c r="H174" i="1"/>
  <c r="H109" i="1"/>
  <c r="H57" i="1"/>
  <c r="H110" i="1"/>
  <c r="H58" i="1"/>
  <c r="H111" i="1"/>
  <c r="H151" i="1"/>
  <c r="H175" i="1"/>
  <c r="H226" i="1"/>
  <c r="H85" i="1"/>
  <c r="H127" i="1"/>
  <c r="H128" i="1"/>
  <c r="H112" i="1"/>
  <c r="H176" i="1"/>
  <c r="H152" i="1"/>
  <c r="H227" i="1"/>
  <c r="H153" i="1"/>
  <c r="H113" i="1"/>
  <c r="H114" i="1"/>
  <c r="H86" i="1"/>
  <c r="H87" i="1"/>
  <c r="H9" i="1"/>
  <c r="H88" i="1"/>
  <c r="H10" i="1"/>
  <c r="H89" i="1"/>
  <c r="H129" i="1"/>
  <c r="H90" i="1"/>
  <c r="H59" i="1"/>
  <c r="H228" i="1"/>
  <c r="H130" i="1"/>
  <c r="H115" i="1"/>
  <c r="H60" i="1"/>
  <c r="H116" i="1"/>
  <c r="H229" i="1"/>
  <c r="H11" i="1"/>
  <c r="H177" i="1"/>
  <c r="H12" i="1"/>
  <c r="H91" i="1"/>
  <c r="H201" i="1"/>
  <c r="H178" i="1"/>
  <c r="H131" i="1"/>
  <c r="H92" i="1"/>
  <c r="H230" i="1"/>
  <c r="H39" i="1"/>
  <c r="H13" i="1"/>
  <c r="H40" i="1"/>
  <c r="H61" i="1"/>
  <c r="H132" i="1"/>
  <c r="H14" i="1"/>
  <c r="H133" i="1"/>
  <c r="H154" i="1"/>
  <c r="H117" i="1"/>
  <c r="H202" i="1"/>
  <c r="H93" i="1"/>
  <c r="H15" i="1"/>
  <c r="H203" i="1"/>
  <c r="H204" i="1"/>
  <c r="H134" i="1"/>
  <c r="H231" i="1"/>
  <c r="H62" i="1"/>
  <c r="H155" i="1"/>
  <c r="H179" i="1"/>
  <c r="H41" i="1"/>
  <c r="H180" i="1"/>
  <c r="H205" i="1"/>
  <c r="H63" i="1"/>
  <c r="H16" i="1"/>
  <c r="H206" i="1"/>
  <c r="H42" i="1"/>
  <c r="H17" i="1"/>
  <c r="H64" i="1"/>
  <c r="H156" i="1"/>
  <c r="H181" i="1"/>
  <c r="H182" i="1"/>
  <c r="H65" i="1"/>
  <c r="H232" i="1"/>
  <c r="H18" i="1"/>
  <c r="H207" i="1"/>
  <c r="H233" i="1"/>
  <c r="H118" i="1"/>
  <c r="H19" i="1"/>
  <c r="H234" i="1"/>
  <c r="H66" i="1"/>
  <c r="H208" i="1"/>
  <c r="H235" i="1"/>
  <c r="H157" i="1"/>
  <c r="H183" i="1"/>
  <c r="H94" i="1"/>
  <c r="H20" i="1"/>
  <c r="H119" i="1"/>
  <c r="H158" i="1"/>
  <c r="H236" i="1"/>
  <c r="H184" i="1"/>
  <c r="H21" i="1"/>
  <c r="H185" i="1"/>
  <c r="H67" i="1"/>
  <c r="H209" i="1"/>
  <c r="H186" i="1"/>
  <c r="H120" i="1"/>
  <c r="H237" i="1"/>
  <c r="H22" i="1"/>
  <c r="H121" i="1"/>
  <c r="H68" i="1"/>
  <c r="H122" i="1"/>
  <c r="H210" i="1"/>
  <c r="H95" i="1"/>
  <c r="H23" i="1"/>
  <c r="H96" i="1"/>
  <c r="H97" i="1"/>
  <c r="H98" i="1"/>
  <c r="H69" i="1"/>
  <c r="H99" i="1"/>
  <c r="H70" i="1"/>
  <c r="H135" i="1"/>
  <c r="H159" i="1"/>
  <c r="H43" i="1"/>
  <c r="H160" i="1"/>
  <c r="H100" i="1"/>
  <c r="H161" i="1"/>
  <c r="H162" i="1"/>
  <c r="H24" i="1"/>
  <c r="H123" i="1"/>
  <c r="H163" i="1"/>
  <c r="H25" i="1"/>
  <c r="H124" i="1"/>
  <c r="H136" i="1"/>
  <c r="H71" i="1"/>
  <c r="H26" i="1"/>
  <c r="H137" i="1"/>
  <c r="H211" i="1"/>
  <c r="H187" i="1"/>
  <c r="H188" i="1"/>
  <c r="H72" i="1"/>
  <c r="H27" i="1"/>
  <c r="H28" i="1"/>
  <c r="H101" i="1"/>
  <c r="H29" i="1"/>
  <c r="H30" i="1"/>
  <c r="H44" i="1"/>
  <c r="H102" i="1"/>
  <c r="H45" i="1"/>
  <c r="H46" i="1"/>
  <c r="H212" i="1"/>
  <c r="H73" i="1"/>
  <c r="H164" i="1"/>
  <c r="H165" i="1"/>
  <c r="H189" i="1"/>
  <c r="H166" i="1"/>
  <c r="H238" i="1"/>
  <c r="H47" i="1"/>
  <c r="H239" i="1"/>
  <c r="H167" i="1"/>
  <c r="H213" i="1"/>
  <c r="H240" i="1"/>
  <c r="H31" i="1"/>
  <c r="H138" i="1"/>
  <c r="H103" i="1"/>
  <c r="G168" i="1"/>
  <c r="G214" i="1"/>
  <c r="G74" i="1"/>
  <c r="G190" i="1"/>
  <c r="G75" i="1"/>
  <c r="G104" i="1"/>
  <c r="G191" i="1"/>
  <c r="G32" i="1"/>
  <c r="G139" i="1"/>
  <c r="G192" i="1"/>
  <c r="G76" i="1"/>
  <c r="G169" i="1"/>
  <c r="G193" i="1"/>
  <c r="G194" i="1"/>
  <c r="G48" i="1"/>
  <c r="G215" i="1"/>
  <c r="G2" i="1"/>
  <c r="G216" i="1"/>
  <c r="G77" i="1"/>
  <c r="G217" i="1"/>
  <c r="G33" i="1"/>
  <c r="G3" i="1"/>
  <c r="G49" i="1"/>
  <c r="G34" i="1"/>
  <c r="G4" i="1"/>
  <c r="G105" i="1"/>
  <c r="G78" i="1"/>
  <c r="G125" i="1"/>
  <c r="G195" i="1"/>
  <c r="G140" i="1"/>
  <c r="G79" i="1"/>
  <c r="G50" i="1"/>
  <c r="G218" i="1"/>
  <c r="G106" i="1"/>
  <c r="G170" i="1"/>
  <c r="G35" i="1"/>
  <c r="G5" i="1"/>
  <c r="G219" i="1"/>
  <c r="G51" i="1"/>
  <c r="G220" i="1"/>
  <c r="G196" i="1"/>
  <c r="G141" i="1"/>
  <c r="G221" i="1"/>
  <c r="G197" i="1"/>
  <c r="G6" i="1"/>
  <c r="G36" i="1"/>
  <c r="G52" i="1"/>
  <c r="G80" i="1"/>
  <c r="G142" i="1"/>
  <c r="G143" i="1"/>
  <c r="G53" i="1"/>
  <c r="G222" i="1"/>
  <c r="G144" i="1"/>
  <c r="G54" i="1"/>
  <c r="G145" i="1"/>
  <c r="G37" i="1"/>
  <c r="G107" i="1"/>
  <c r="G146" i="1"/>
  <c r="G55" i="1"/>
  <c r="G198" i="1"/>
  <c r="G147" i="1"/>
  <c r="G81" i="1"/>
  <c r="G171" i="1"/>
  <c r="G148" i="1"/>
  <c r="G7" i="1"/>
  <c r="G172" i="1"/>
  <c r="G223" i="1"/>
  <c r="G56" i="1"/>
  <c r="G8" i="1"/>
  <c r="G199" i="1"/>
  <c r="G108" i="1"/>
  <c r="G200" i="1"/>
  <c r="G82" i="1"/>
  <c r="G149" i="1"/>
  <c r="G224" i="1"/>
  <c r="G126" i="1"/>
  <c r="G83" i="1"/>
  <c r="G84" i="1"/>
  <c r="G225" i="1"/>
  <c r="G150" i="1"/>
  <c r="G38" i="1"/>
  <c r="G173" i="1"/>
  <c r="G174" i="1"/>
  <c r="G109" i="1"/>
  <c r="G57" i="1"/>
  <c r="G110" i="1"/>
  <c r="G58" i="1"/>
  <c r="G111" i="1"/>
  <c r="G151" i="1"/>
  <c r="G175" i="1"/>
  <c r="G226" i="1"/>
  <c r="G85" i="1"/>
  <c r="G127" i="1"/>
  <c r="G128" i="1"/>
  <c r="G112" i="1"/>
  <c r="G176" i="1"/>
  <c r="G152" i="1"/>
  <c r="G227" i="1"/>
  <c r="G153" i="1"/>
  <c r="G113" i="1"/>
  <c r="G114" i="1"/>
  <c r="G86" i="1"/>
  <c r="G87" i="1"/>
  <c r="G9" i="1"/>
  <c r="G88" i="1"/>
  <c r="G10" i="1"/>
  <c r="G89" i="1"/>
  <c r="G129" i="1"/>
  <c r="G90" i="1"/>
  <c r="G59" i="1"/>
  <c r="G228" i="1"/>
  <c r="G130" i="1"/>
  <c r="G115" i="1"/>
  <c r="G60" i="1"/>
  <c r="G116" i="1"/>
  <c r="G229" i="1"/>
  <c r="G11" i="1"/>
  <c r="G177" i="1"/>
  <c r="G12" i="1"/>
  <c r="G91" i="1"/>
  <c r="G201" i="1"/>
  <c r="G178" i="1"/>
  <c r="G131" i="1"/>
  <c r="G92" i="1"/>
  <c r="G230" i="1"/>
  <c r="G39" i="1"/>
  <c r="G13" i="1"/>
  <c r="G40" i="1"/>
  <c r="G61" i="1"/>
  <c r="G132" i="1"/>
  <c r="G14" i="1"/>
  <c r="G133" i="1"/>
  <c r="G154" i="1"/>
  <c r="G117" i="1"/>
  <c r="G202" i="1"/>
  <c r="G93" i="1"/>
  <c r="G15" i="1"/>
  <c r="G203" i="1"/>
  <c r="G204" i="1"/>
  <c r="G134" i="1"/>
  <c r="G231" i="1"/>
  <c r="G62" i="1"/>
  <c r="G155" i="1"/>
  <c r="G179" i="1"/>
  <c r="G41" i="1"/>
  <c r="G180" i="1"/>
  <c r="G205" i="1"/>
  <c r="G63" i="1"/>
  <c r="G16" i="1"/>
  <c r="G206" i="1"/>
  <c r="G42" i="1"/>
  <c r="G17" i="1"/>
  <c r="G64" i="1"/>
  <c r="G156" i="1"/>
  <c r="G181" i="1"/>
  <c r="G182" i="1"/>
  <c r="G65" i="1"/>
  <c r="G232" i="1"/>
  <c r="G18" i="1"/>
  <c r="G207" i="1"/>
  <c r="G233" i="1"/>
  <c r="G118" i="1"/>
  <c r="G19" i="1"/>
  <c r="G234" i="1"/>
  <c r="G66" i="1"/>
  <c r="G208" i="1"/>
  <c r="G235" i="1"/>
  <c r="G157" i="1"/>
  <c r="G183" i="1"/>
  <c r="G94" i="1"/>
  <c r="G20" i="1"/>
  <c r="G119" i="1"/>
  <c r="G158" i="1"/>
  <c r="G236" i="1"/>
  <c r="G184" i="1"/>
  <c r="G21" i="1"/>
  <c r="G185" i="1"/>
  <c r="G67" i="1"/>
  <c r="G209" i="1"/>
  <c r="G186" i="1"/>
  <c r="G120" i="1"/>
  <c r="G237" i="1"/>
  <c r="G22" i="1"/>
  <c r="G121" i="1"/>
  <c r="G68" i="1"/>
  <c r="G122" i="1"/>
  <c r="G210" i="1"/>
  <c r="G95" i="1"/>
  <c r="G23" i="1"/>
  <c r="G96" i="1"/>
  <c r="G97" i="1"/>
  <c r="G98" i="1"/>
  <c r="G69" i="1"/>
  <c r="G99" i="1"/>
  <c r="G70" i="1"/>
  <c r="G135" i="1"/>
  <c r="G159" i="1"/>
  <c r="G43" i="1"/>
  <c r="G160" i="1"/>
  <c r="G100" i="1"/>
  <c r="G161" i="1"/>
  <c r="G162" i="1"/>
  <c r="G24" i="1"/>
  <c r="G123" i="1"/>
  <c r="G163" i="1"/>
  <c r="G25" i="1"/>
  <c r="G124" i="1"/>
  <c r="G136" i="1"/>
  <c r="G71" i="1"/>
  <c r="G26" i="1"/>
  <c r="G137" i="1"/>
  <c r="G211" i="1"/>
  <c r="G187" i="1"/>
  <c r="G188" i="1"/>
  <c r="G72" i="1"/>
  <c r="G27" i="1"/>
  <c r="G28" i="1"/>
  <c r="G101" i="1"/>
  <c r="G29" i="1"/>
  <c r="G30" i="1"/>
  <c r="G44" i="1"/>
  <c r="G102" i="1"/>
  <c r="G45" i="1"/>
  <c r="G46" i="1"/>
  <c r="G212" i="1"/>
  <c r="G73" i="1"/>
  <c r="G164" i="1"/>
  <c r="G165" i="1"/>
  <c r="G189" i="1"/>
  <c r="G166" i="1"/>
  <c r="G238" i="1"/>
  <c r="G47" i="1"/>
  <c r="G239" i="1"/>
  <c r="G167" i="1"/>
  <c r="G213" i="1"/>
  <c r="G240" i="1"/>
  <c r="G31" i="1"/>
  <c r="G138" i="1"/>
  <c r="G103" i="1"/>
</calcChain>
</file>

<file path=xl/sharedStrings.xml><?xml version="1.0" encoding="utf-8"?>
<sst xmlns="http://schemas.openxmlformats.org/spreadsheetml/2006/main" count="1526" uniqueCount="75">
  <si>
    <t>TransactionID</t>
  </si>
  <si>
    <t>CustomerID</t>
  </si>
  <si>
    <t>CustomerName</t>
  </si>
  <si>
    <t>AccountType</t>
  </si>
  <si>
    <t>Branch</t>
  </si>
  <si>
    <t>TransactionType</t>
  </si>
  <si>
    <t>Amount</t>
  </si>
  <si>
    <t>TransactionDate</t>
  </si>
  <si>
    <t>C004</t>
  </si>
  <si>
    <t>Rana Samir</t>
  </si>
  <si>
    <t>Amman Main</t>
  </si>
  <si>
    <t>deposit</t>
  </si>
  <si>
    <t>C005</t>
  </si>
  <si>
    <t>Khaled Saleh</t>
  </si>
  <si>
    <t>Irbid</t>
  </si>
  <si>
    <t>Withdrawal</t>
  </si>
  <si>
    <t>C008</t>
  </si>
  <si>
    <t>Lina Fadi</t>
  </si>
  <si>
    <t>Deposit</t>
  </si>
  <si>
    <t>C010</t>
  </si>
  <si>
    <t>Hassan Noor</t>
  </si>
  <si>
    <t>Salary</t>
  </si>
  <si>
    <t>Zarqa</t>
  </si>
  <si>
    <t>Aqaba</t>
  </si>
  <si>
    <t>C009</t>
  </si>
  <si>
    <t>Tareq Fadi</t>
  </si>
  <si>
    <t>Current</t>
  </si>
  <si>
    <t>C007</t>
  </si>
  <si>
    <t>Yousef Adel</t>
  </si>
  <si>
    <t>C003</t>
  </si>
  <si>
    <t>Omar Zaid</t>
  </si>
  <si>
    <t>C001</t>
  </si>
  <si>
    <t>Ahmed Ali</t>
  </si>
  <si>
    <t>C002</t>
  </si>
  <si>
    <t>Sara Khalid</t>
  </si>
  <si>
    <t>C006</t>
  </si>
  <si>
    <t>Nada Jamal</t>
  </si>
  <si>
    <t>Saving</t>
  </si>
  <si>
    <t>current</t>
  </si>
  <si>
    <t>salary</t>
  </si>
  <si>
    <t>khaled Saleh</t>
  </si>
  <si>
    <t>rana Samir</t>
  </si>
  <si>
    <t>tareq Fadi</t>
  </si>
  <si>
    <t>sara Khalid</t>
  </si>
  <si>
    <t>Day</t>
  </si>
  <si>
    <t>Year</t>
  </si>
  <si>
    <t>Month</t>
  </si>
  <si>
    <t>Row Labels</t>
  </si>
  <si>
    <t>Grand Total</t>
  </si>
  <si>
    <t>Sum of Amount</t>
  </si>
  <si>
    <t>Count of CustomerID</t>
  </si>
  <si>
    <t>Value Category</t>
  </si>
  <si>
    <t>Sum_Amount</t>
  </si>
  <si>
    <t>Averag_Amount</t>
  </si>
  <si>
    <t>Max_Amount</t>
  </si>
  <si>
    <t>Min_Amount</t>
  </si>
  <si>
    <t>Count_Amount</t>
  </si>
  <si>
    <t>Banking Dataset Analysis &amp; Deliverables Summary</t>
  </si>
  <si>
    <t>1. Data Cleaning &amp; Preparation Log</t>
  </si>
  <si>
    <t xml:space="preserve">2. Aggregation Functions Results </t>
  </si>
  <si>
    <t>Metric / Analytical Requirement</t>
  </si>
  <si>
    <t>Applied Excel Formula</t>
  </si>
  <si>
    <t>Result</t>
  </si>
  <si>
    <t>Transactions Count Above $3,000</t>
  </si>
  <si>
    <t>"=COUNTIF(Bank_Transactions!E:E, "&gt;3000")"</t>
  </si>
  <si>
    <t>Total Amount for "Savings" Accounts</t>
  </si>
  <si>
    <t>"=SUMIF(Bank_Transactions!D:D, "Savings", Bank_Transactions!E:E)"</t>
  </si>
  <si>
    <t>Total Amount for "Current" Accounts in 2021</t>
  </si>
  <si>
    <r>
      <t xml:space="preserve"> </t>
    </r>
    <r>
      <rPr>
        <sz val="10"/>
        <color theme="1"/>
        <rFont val="Arial Unicode MS"/>
      </rPr>
      <t>=SUMIFS(Bank_Transactions!E:E, Bank_Transactions!D:D, "Current", Bank_Transactions!H:H, 2021)</t>
    </r>
  </si>
  <si>
    <t>3. Overall Portfolio Statistics</t>
  </si>
  <si>
    <t>Total Transaction Volume</t>
  </si>
  <si>
    <t>Average Transaction Amount</t>
  </si>
  <si>
    <t>Max Transaction Value</t>
  </si>
  <si>
    <t>Min Transaction Value</t>
  </si>
  <si>
    <t>Transaction Spread (Range)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</si>
</sst>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2" fillId="0" borderId="0" xfId="0" applyFont="1"/>
    <xf numFmtId="0" fontId="0" fillId="2" borderId="0" xfId="0" applyFill="1"/>
    <xf numFmtId="1" fontId="0" fillId="2" borderId="0" xfId="0" applyNumberFormat="1" applyFill="1"/>
    <xf numFmtId="0" fontId="0" fillId="3" borderId="0" xfId="0" applyFill="1"/>
    <xf numFmtId="1" fontId="0" fillId="3" borderId="0" xfId="0" applyNumberFormat="1" applyFill="1"/>
    <xf numFmtId="0" fontId="0" fillId="4" borderId="0" xfId="0" applyFill="1"/>
    <xf numFmtId="1" fontId="0" fillId="4" borderId="0" xfId="0" applyNumberFormat="1" applyFill="1"/>
    <xf numFmtId="0" fontId="0" fillId="5" borderId="0" xfId="0" applyFill="1"/>
    <xf numFmtId="1" fontId="0" fillId="5" borderId="0" xfId="0" applyNumberFormat="1" applyFill="1"/>
    <xf numFmtId="0" fontId="0" fillId="6" borderId="0" xfId="0" applyFill="1"/>
    <xf numFmtId="49" fontId="1" fillId="6" borderId="0" xfId="0" applyNumberFormat="1" applyFont="1" applyFill="1"/>
    <xf numFmtId="2" fontId="1" fillId="6" borderId="0" xfId="0" applyNumberFormat="1" applyFont="1" applyFill="1"/>
    <xf numFmtId="1" fontId="1" fillId="6" borderId="0" xfId="0" applyNumberFormat="1" applyFont="1" applyFill="1"/>
    <xf numFmtId="14" fontId="1" fillId="6" borderId="0" xfId="0" applyNumberFormat="1" applyFont="1" applyFill="1"/>
    <xf numFmtId="0" fontId="1" fillId="6" borderId="0" xfId="0" applyFont="1" applyFill="1"/>
    <xf numFmtId="0" fontId="2" fillId="6" borderId="0" xfId="0" applyFont="1" applyFill="1"/>
    <xf numFmtId="49" fontId="0" fillId="7" borderId="0" xfId="0" applyNumberFormat="1" applyFill="1"/>
    <xf numFmtId="2" fontId="0" fillId="7" borderId="0" xfId="0" applyNumberFormat="1" applyFill="1"/>
    <xf numFmtId="1" fontId="0" fillId="7" borderId="0" xfId="0" applyNumberFormat="1" applyFill="1"/>
    <xf numFmtId="14" fontId="0" fillId="7" borderId="0" xfId="0" applyNumberFormat="1" applyFill="1"/>
    <xf numFmtId="0" fontId="0" fillId="7" borderId="0" xfId="0" applyFill="1" applyAlignment="1">
      <alignment horizontal="left"/>
    </xf>
    <xf numFmtId="0" fontId="0" fillId="7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0" fillId="0" borderId="0" xfId="0" applyNumberFormat="1"/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Amount by Account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Current</c:v>
              </c:pt>
              <c:pt idx="1">
                <c:v>Salary</c:v>
              </c:pt>
              <c:pt idx="2">
                <c:v>Saving</c:v>
              </c:pt>
            </c:strLit>
          </c:cat>
          <c:val>
            <c:numLit>
              <c:formatCode>General</c:formatCode>
              <c:ptCount val="3"/>
              <c:pt idx="0">
                <c:v>200904</c:v>
              </c:pt>
              <c:pt idx="1">
                <c:v>183085</c:v>
              </c:pt>
              <c:pt idx="2">
                <c:v>215314</c:v>
              </c:pt>
            </c:numLit>
          </c:val>
          <c:extLst>
            <c:ext xmlns:c16="http://schemas.microsoft.com/office/drawing/2014/chart" uri="{C3380CC4-5D6E-409C-BE32-E72D297353CC}">
              <c16:uniqueId val="{00000000-7EC8-4EDF-A936-CBB499EE764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55111696"/>
        <c:axId val="362998736"/>
      </c:barChart>
      <c:catAx>
        <c:axId val="105511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998736"/>
        <c:crosses val="autoZero"/>
        <c:auto val="1"/>
        <c:lblAlgn val="ctr"/>
        <c:lblOffset val="100"/>
        <c:noMultiLvlLbl val="0"/>
      </c:catAx>
      <c:valAx>
        <c:axId val="36299873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55111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Transactions by Branch and Type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dLblPos val="ctr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dLblPos val="ctr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dLblPos val="ctr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v>Deposit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6="http://schemas.microsoft.com/office/drawing/2014/chart" uri="{F5D05F6E-A05E-4728-AFD3-386EB277150F}">
                  <c16:filteredLitCache>
                    <c:strCache>
                      <c:ptCount val="1"/>
                      <c:pt idx="4">
                        <c:v>(blank)</c:v>
                      </c:pt>
                    </c:strCache>
                  </c16:filteredLitCache>
                </c:ext>
              </c:extLst>
              <c:f/>
              <c:strCache>
                <c:ptCount val="4"/>
                <c:pt idx="0">
                  <c:v>Amman Main</c:v>
                </c:pt>
                <c:pt idx="1">
                  <c:v>Aqaba</c:v>
                </c:pt>
                <c:pt idx="2">
                  <c:v>Irbid</c:v>
                </c:pt>
                <c:pt idx="3">
                  <c:v>Zarqa</c:v>
                </c:pt>
              </c:strCache>
            </c:strRef>
          </c:cat>
          <c:val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"/>
                      <c:pt idx="4">
                        <c:v>0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4"/>
                <c:pt idx="0">
                  <c:v>516334</c:v>
                </c:pt>
                <c:pt idx="1">
                  <c:v>273031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CC-4B43-ABDA-4FF9C7D6D4A7}"/>
            </c:ext>
          </c:extLst>
        </c:ser>
        <c:ser>
          <c:idx val="1"/>
          <c:order val="1"/>
          <c:tx>
            <c:v>Withdrawal</c:v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6="http://schemas.microsoft.com/office/drawing/2014/chart" uri="{F5D05F6E-A05E-4728-AFD3-386EB277150F}">
                  <c16:filteredLitCache>
                    <c:strCache>
                      <c:ptCount val="1"/>
                      <c:pt idx="4">
                        <c:v>(blank)</c:v>
                      </c:pt>
                    </c:strCache>
                  </c16:filteredLitCache>
                </c:ext>
              </c:extLst>
              <c:f/>
              <c:strCache>
                <c:ptCount val="4"/>
                <c:pt idx="0">
                  <c:v>Amman Main</c:v>
                </c:pt>
                <c:pt idx="1">
                  <c:v>Aqaba</c:v>
                </c:pt>
                <c:pt idx="2">
                  <c:v>Irbid</c:v>
                </c:pt>
                <c:pt idx="3">
                  <c:v>Zarqa</c:v>
                </c:pt>
              </c:strCache>
            </c:strRef>
          </c:cat>
          <c:val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"/>
                      <c:pt idx="4">
                        <c:v>0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4"/>
                <c:pt idx="0">
                  <c:v>567259</c:v>
                </c:pt>
                <c:pt idx="1">
                  <c:v>0</c:v>
                </c:pt>
                <c:pt idx="2">
                  <c:v>536076</c:v>
                </c:pt>
                <c:pt idx="3">
                  <c:v>527287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CC-4B43-ABDA-4FF9C7D6D4A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08334256"/>
        <c:axId val="1067890000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v>(blank)</c:v>
                </c:tx>
                <c:spPr>
                  <a:gradFill rotWithShape="1">
                    <a:gsLst>
                      <a:gs pos="0">
                        <a:schemeClr val="accent3">
                          <a:shade val="51000"/>
                          <a:satMod val="130000"/>
                        </a:schemeClr>
                      </a:gs>
                      <a:gs pos="80000">
                        <a:schemeClr val="accent3">
                          <a:shade val="93000"/>
                          <a:satMod val="130000"/>
                        </a:schemeClr>
                      </a:gs>
                      <a:gs pos="100000">
                        <a:schemeClr val="accent3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6="http://schemas.microsoft.com/office/drawing/2014/chart" uri="{F5D05F6E-A05E-4728-AFD3-386EB277150F}">
                        <c16:filteredLitCache>
                          <c:strCache>
                            <c:ptCount val="1"/>
                            <c:pt idx="4">
                              <c:v>(blank)</c:v>
                            </c:pt>
                          </c:strCache>
                        </c16:filteredLitCache>
                      </c:ext>
                    </c:extLst>
                    <c:f/>
                    <c:strCache>
                      <c:ptCount val="4"/>
                      <c:pt idx="0">
                        <c:v>Amman Main</c:v>
                      </c:pt>
                      <c:pt idx="1">
                        <c:v>Aqaba</c:v>
                      </c:pt>
                      <c:pt idx="2">
                        <c:v>Irbid</c:v>
                      </c:pt>
                      <c:pt idx="3">
                        <c:v>Zarqa</c:v>
                      </c:pt>
                    </c:strCache>
                  </c:strRef>
                </c:cat>
                <c:val>
                  <c:numRef>
                    <c:extLst>
                      <c:ext xmlns:c16="http://schemas.microsoft.com/office/drawing/2014/chart" uri="{F5D05F6E-A05E-4728-AFD3-386EB277150F}">
                        <c16:filteredLitCache>
                          <c:numCache>
                            <c:formatCode>General</c:formatCode>
                            <c:ptCount val="1"/>
                            <c:pt idx="4">
                              <c:v>0</c:v>
                            </c:pt>
                          </c:numCache>
                        </c16:filteredLitCache>
                      </c:ext>
                    </c:extLst>
                    <c:f/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88CC-4B43-ABDA-4FF9C7D6D4A7}"/>
                  </c:ext>
                </c:extLst>
              </c15:ser>
            </c15:filteredBarSeries>
          </c:ext>
        </c:extLst>
      </c:barChart>
      <c:catAx>
        <c:axId val="150833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890000"/>
        <c:crosses val="autoZero"/>
        <c:auto val="1"/>
        <c:lblAlgn val="ctr"/>
        <c:lblOffset val="100"/>
        <c:noMultiLvlLbl val="0"/>
      </c:catAx>
      <c:valAx>
        <c:axId val="106789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33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1" i="0" u="none" strike="noStrike" baseline="0"/>
              <a:t>Total Transaction Amount by Customer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C006</c:v>
              </c:pt>
              <c:pt idx="1">
                <c:v>C009</c:v>
              </c:pt>
              <c:pt idx="2">
                <c:v>C002</c:v>
              </c:pt>
              <c:pt idx="3">
                <c:v>C005</c:v>
              </c:pt>
              <c:pt idx="4">
                <c:v>C008</c:v>
              </c:pt>
              <c:pt idx="5">
                <c:v>C004</c:v>
              </c:pt>
              <c:pt idx="6">
                <c:v>C007</c:v>
              </c:pt>
              <c:pt idx="7">
                <c:v>C003</c:v>
              </c:pt>
              <c:pt idx="8">
                <c:v>C001</c:v>
              </c:pt>
              <c:pt idx="9">
                <c:v>C010</c:v>
              </c:pt>
            </c:strLit>
          </c:cat>
          <c:val>
            <c:numLit>
              <c:formatCode>General</c:formatCode>
              <c:ptCount val="10"/>
              <c:pt idx="0">
                <c:v>34399</c:v>
              </c:pt>
              <c:pt idx="1">
                <c:v>44634</c:v>
              </c:pt>
              <c:pt idx="2">
                <c:v>46031</c:v>
              </c:pt>
              <c:pt idx="3">
                <c:v>48606</c:v>
              </c:pt>
              <c:pt idx="4">
                <c:v>55362</c:v>
              </c:pt>
              <c:pt idx="5">
                <c:v>64303</c:v>
              </c:pt>
              <c:pt idx="6">
                <c:v>72541</c:v>
              </c:pt>
              <c:pt idx="7">
                <c:v>74577</c:v>
              </c:pt>
              <c:pt idx="8">
                <c:v>79029</c:v>
              </c:pt>
              <c:pt idx="9">
                <c:v>79821</c:v>
              </c:pt>
            </c:numLit>
          </c:val>
          <c:extLst>
            <c:ext xmlns:c16="http://schemas.microsoft.com/office/drawing/2014/chart" uri="{C3380CC4-5D6E-409C-BE32-E72D297353CC}">
              <c16:uniqueId val="{00000000-F54B-4470-A25F-9062ABDEAD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645259072"/>
        <c:axId val="1067900560"/>
      </c:barChart>
      <c:catAx>
        <c:axId val="1645259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900560"/>
        <c:crosses val="autoZero"/>
        <c:auto val="1"/>
        <c:lblAlgn val="ctr"/>
        <c:lblOffset val="100"/>
        <c:noMultiLvlLbl val="0"/>
      </c:catAx>
      <c:valAx>
        <c:axId val="106790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25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500" b="1" i="0" u="none" strike="noStrike" kern="1200" cap="all" spc="100" normalizeH="0" baseline="0">
                <a:solidFill>
                  <a:sysClr val="window" lastClr="FFFFFF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YEARLY TRANSACTION TREND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" lastClr="FFFFFF"/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500" b="1" i="0" u="none" strike="noStrike" kern="1200" cap="all" spc="100" normalizeH="0" baseline="0">
              <a:solidFill>
                <a:sysClr val="window" lastClr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Lit>
              <c:ptCount val="7"/>
              <c:pt idx="0">
                <c:v>2019</c:v>
              </c:pt>
              <c:pt idx="1">
                <c:v>2020</c:v>
              </c:pt>
              <c:pt idx="2">
                <c:v>2021</c:v>
              </c:pt>
              <c:pt idx="3">
                <c:v>2022</c:v>
              </c:pt>
              <c:pt idx="4">
                <c:v>2023</c:v>
              </c:pt>
              <c:pt idx="5">
                <c:v>2024</c:v>
              </c:pt>
              <c:pt idx="6">
                <c:v>2025</c:v>
              </c:pt>
            </c:strLit>
          </c:cat>
          <c:val>
            <c:numLit>
              <c:formatCode>General</c:formatCode>
              <c:ptCount val="7"/>
              <c:pt idx="0">
                <c:v>86371</c:v>
              </c:pt>
              <c:pt idx="1">
                <c:v>108432</c:v>
              </c:pt>
              <c:pt idx="2">
                <c:v>113765</c:v>
              </c:pt>
              <c:pt idx="3">
                <c:v>92139</c:v>
              </c:pt>
              <c:pt idx="4">
                <c:v>109458</c:v>
              </c:pt>
              <c:pt idx="5">
                <c:v>83290</c:v>
              </c:pt>
              <c:pt idx="6">
                <c:v>5848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F4E-40AD-8BF6-CF0850669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432263120"/>
        <c:axId val="1297731312"/>
      </c:lineChart>
      <c:catAx>
        <c:axId val="43226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731312"/>
        <c:crosses val="autoZero"/>
        <c:auto val="1"/>
        <c:lblAlgn val="ctr"/>
        <c:lblOffset val="100"/>
        <c:noMultiLvlLbl val="0"/>
      </c:catAx>
      <c:valAx>
        <c:axId val="1297731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26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kern="1200" cap="all" spc="5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Branch shARE %OF TOTAL AMOUNT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9B9-4C78-9DEC-60B654B967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9B9-4C78-9DEC-60B654B967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9B9-4C78-9DEC-60B654B967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9B9-4C78-9DEC-60B654B967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Amman Main</c:v>
              </c:pt>
              <c:pt idx="1">
                <c:v>Aqaba</c:v>
              </c:pt>
              <c:pt idx="2">
                <c:v>Irbid</c:v>
              </c:pt>
              <c:pt idx="3">
                <c:v>Zarqa</c:v>
              </c:pt>
            </c:strLit>
          </c:cat>
          <c:val>
            <c:numLit>
              <c:formatCode>General</c:formatCode>
              <c:ptCount val="4"/>
              <c:pt idx="0">
                <c:v>276154</c:v>
              </c:pt>
              <c:pt idx="1">
                <c:v>79821</c:v>
              </c:pt>
              <c:pt idx="2">
                <c:v>108937</c:v>
              </c:pt>
              <c:pt idx="3">
                <c:v>134391</c:v>
              </c:pt>
            </c:numLit>
          </c:val>
          <c:extLst>
            <c:ext xmlns:c16="http://schemas.microsoft.com/office/drawing/2014/chart" uri="{C3380CC4-5D6E-409C-BE32-E72D297353CC}">
              <c16:uniqueId val="{00000008-99B9-4C78-9DEC-60B654B9679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baseline="0">
                <a:solidFill>
                  <a:srgbClr val="1F497D"/>
                </a:solidFill>
              </a:rPr>
              <a:t>High Value vs. Low Value Per Branch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High Value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4"/>
              <c:pt idx="0">
                <c:v>Amman Main</c:v>
              </c:pt>
              <c:pt idx="1">
                <c:v>Aqaba</c:v>
              </c:pt>
              <c:pt idx="2">
                <c:v>Irbid</c:v>
              </c:pt>
              <c:pt idx="3">
                <c:v>Zarqa</c:v>
              </c:pt>
            </c:strLit>
          </c:cat>
          <c:val>
            <c:numLit>
              <c:formatCode>General</c:formatCode>
              <c:ptCount val="4"/>
              <c:pt idx="0">
                <c:v>15</c:v>
              </c:pt>
              <c:pt idx="1">
                <c:v>6</c:v>
              </c:pt>
              <c:pt idx="2">
                <c:v>5</c:v>
              </c:pt>
              <c:pt idx="3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00-5F4E-417F-ADD7-A3BD78CB2250}"/>
            </c:ext>
          </c:extLst>
        </c:ser>
        <c:ser>
          <c:idx val="1"/>
          <c:order val="1"/>
          <c:tx>
            <c:v>Low Value</c:v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4"/>
              <c:pt idx="0">
                <c:v>Amman Main</c:v>
              </c:pt>
              <c:pt idx="1">
                <c:v>Aqaba</c:v>
              </c:pt>
              <c:pt idx="2">
                <c:v>Irbid</c:v>
              </c:pt>
              <c:pt idx="3">
                <c:v>Zarqa</c:v>
              </c:pt>
            </c:strLit>
          </c:cat>
          <c:val>
            <c:numLit>
              <c:formatCode>General</c:formatCode>
              <c:ptCount val="4"/>
              <c:pt idx="0">
                <c:v>92</c:v>
              </c:pt>
              <c:pt idx="1">
                <c:v>21</c:v>
              </c:pt>
              <c:pt idx="2">
                <c:v>48</c:v>
              </c:pt>
              <c:pt idx="3">
                <c:v>42</c:v>
              </c:pt>
            </c:numLit>
          </c:val>
          <c:extLst>
            <c:ext xmlns:c16="http://schemas.microsoft.com/office/drawing/2014/chart" uri="{C3380CC4-5D6E-409C-BE32-E72D297353CC}">
              <c16:uniqueId val="{00000001-5F4E-417F-ADD7-A3BD78CB2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12086576"/>
        <c:axId val="456388208"/>
      </c:barChart>
      <c:catAx>
        <c:axId val="512086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388208"/>
        <c:crosses val="autoZero"/>
        <c:auto val="1"/>
        <c:lblAlgn val="ctr"/>
        <c:lblOffset val="100"/>
        <c:noMultiLvlLbl val="0"/>
      </c:catAx>
      <c:valAx>
        <c:axId val="456388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08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Current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4"/>
              <c:pt idx="0">
                <c:v>Amman Main</c:v>
              </c:pt>
              <c:pt idx="1">
                <c:v>Aqaba</c:v>
              </c:pt>
              <c:pt idx="2">
                <c:v>Irbid</c:v>
              </c:pt>
              <c:pt idx="3">
                <c:v>Zarqa</c:v>
              </c:pt>
            </c:strLit>
          </c:cat>
          <c:val>
            <c:numLit>
              <c:formatCode>General</c:formatCode>
              <c:ptCount val="4"/>
              <c:pt idx="0">
                <c:v>92004</c:v>
              </c:pt>
              <c:pt idx="1">
                <c:v>23788</c:v>
              </c:pt>
              <c:pt idx="2">
                <c:v>44988</c:v>
              </c:pt>
              <c:pt idx="3">
                <c:v>40124</c:v>
              </c:pt>
            </c:numLit>
          </c:val>
          <c:extLst>
            <c:ext xmlns:c16="http://schemas.microsoft.com/office/drawing/2014/chart" uri="{C3380CC4-5D6E-409C-BE32-E72D297353CC}">
              <c16:uniqueId val="{00000000-A3C9-4B38-8ADF-9C632923B49B}"/>
            </c:ext>
          </c:extLst>
        </c:ser>
        <c:ser>
          <c:idx val="1"/>
          <c:order val="1"/>
          <c:tx>
            <c:v>Salary</c:v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4"/>
              <c:pt idx="0">
                <c:v>Amman Main</c:v>
              </c:pt>
              <c:pt idx="1">
                <c:v>Aqaba</c:v>
              </c:pt>
              <c:pt idx="2">
                <c:v>Irbid</c:v>
              </c:pt>
              <c:pt idx="3">
                <c:v>Zarqa</c:v>
              </c:pt>
            </c:strLit>
          </c:cat>
          <c:val>
            <c:numLit>
              <c:formatCode>General</c:formatCode>
              <c:ptCount val="4"/>
              <c:pt idx="0">
                <c:v>78596</c:v>
              </c:pt>
              <c:pt idx="1">
                <c:v>42791</c:v>
              </c:pt>
              <c:pt idx="2">
                <c:v>24151</c:v>
              </c:pt>
              <c:pt idx="3">
                <c:v>37547</c:v>
              </c:pt>
            </c:numLit>
          </c:val>
          <c:extLst>
            <c:ext xmlns:c16="http://schemas.microsoft.com/office/drawing/2014/chart" uri="{C3380CC4-5D6E-409C-BE32-E72D297353CC}">
              <c16:uniqueId val="{00000001-A3C9-4B38-8ADF-9C632923B49B}"/>
            </c:ext>
          </c:extLst>
        </c:ser>
        <c:ser>
          <c:idx val="2"/>
          <c:order val="2"/>
          <c:tx>
            <c:v>Saving</c:v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4"/>
              <c:pt idx="0">
                <c:v>Amman Main</c:v>
              </c:pt>
              <c:pt idx="1">
                <c:v>Aqaba</c:v>
              </c:pt>
              <c:pt idx="2">
                <c:v>Irbid</c:v>
              </c:pt>
              <c:pt idx="3">
                <c:v>Zarqa</c:v>
              </c:pt>
            </c:strLit>
          </c:cat>
          <c:val>
            <c:numLit>
              <c:formatCode>General</c:formatCode>
              <c:ptCount val="4"/>
              <c:pt idx="0">
                <c:v>105554</c:v>
              </c:pt>
              <c:pt idx="1">
                <c:v>13242</c:v>
              </c:pt>
              <c:pt idx="2">
                <c:v>39798</c:v>
              </c:pt>
              <c:pt idx="3">
                <c:v>56720</c:v>
              </c:pt>
            </c:numLit>
          </c:val>
          <c:extLst>
            <c:ext xmlns:c16="http://schemas.microsoft.com/office/drawing/2014/chart" uri="{C3380CC4-5D6E-409C-BE32-E72D297353CC}">
              <c16:uniqueId val="{00000002-A3C9-4B38-8ADF-9C632923B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1484640"/>
        <c:axId val="1297914192"/>
      </c:barChart>
      <c:catAx>
        <c:axId val="14148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914192"/>
        <c:crosses val="autoZero"/>
        <c:auto val="1"/>
        <c:lblAlgn val="ctr"/>
        <c:lblOffset val="100"/>
        <c:noMultiLvlLbl val="0"/>
      </c:catAx>
      <c:valAx>
        <c:axId val="129791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8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53340</xdr:colOff>
      <xdr:row>5</xdr:row>
      <xdr:rowOff>106680</xdr:rowOff>
    </xdr:from>
    <xdr:ext cx="8983980" cy="11430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75C2F6-D13A-BAD7-2BC4-32349F924A5F}"/>
            </a:ext>
          </a:extLst>
        </xdr:cNvPr>
        <xdr:cNvSpPr txBox="1"/>
      </xdr:nvSpPr>
      <xdr:spPr>
        <a:xfrm>
          <a:off x="662940" y="1120140"/>
          <a:ext cx="8983980" cy="11430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Duplicate Removal: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Checked the TransactionID column for uniqueness and eliminated all duplicate entries (e.g., ID 10002 and 10010) to maintain data integrity. </a:t>
          </a:r>
        </a:p>
        <a:p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Handling Missing Values: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Identified and removed 8 rows containing missing values (NaN) in the Amount column. </a:t>
          </a:r>
        </a:p>
        <a:p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Text Standardization: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Standardized casing across AccountType into three consistent categories (Savings, Current, Salary) and fixed names using PROPER. </a:t>
          </a:r>
        </a:p>
        <a:p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Data Typing &amp; Formatting: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Configured TransactionDate as Short Date (YYYY-MM-DD) and formatted Amount as Currency ($#,##0). </a:t>
          </a:r>
        </a:p>
        <a:p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Final Scope: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cleaned dataset contains 239 validated records ready for analysis.</a:t>
          </a:r>
        </a:p>
        <a:p>
          <a:endParaRPr lang="en-GB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83820</xdr:colOff>
      <xdr:row>12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7C1E03-367D-44D8-927B-4DA859D873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152400</xdr:colOff>
      <xdr:row>0</xdr:row>
      <xdr:rowOff>22860</xdr:rowOff>
    </xdr:from>
    <xdr:to>
      <xdr:col>13</xdr:col>
      <xdr:colOff>45720</xdr:colOff>
      <xdr:row>12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FF4F5A-A484-4440-926F-64B9D23A53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21</xdr:col>
      <xdr:colOff>563880</xdr:colOff>
      <xdr:row>13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41CAB2-6444-4927-868D-3D003D0008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14</xdr:row>
      <xdr:rowOff>0</xdr:rowOff>
    </xdr:from>
    <xdr:to>
      <xdr:col>6</xdr:col>
      <xdr:colOff>129540</xdr:colOff>
      <xdr:row>26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7D6CCC5-B5FA-4C68-BC78-98DF18D7D3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198120</xdr:colOff>
      <xdr:row>13</xdr:row>
      <xdr:rowOff>167640</xdr:rowOff>
    </xdr:from>
    <xdr:to>
      <xdr:col>11</xdr:col>
      <xdr:colOff>426720</xdr:colOff>
      <xdr:row>27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1E445E3-0A48-430C-A5C4-4E8C063E16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541020</xdr:colOff>
      <xdr:row>14</xdr:row>
      <xdr:rowOff>7620</xdr:rowOff>
    </xdr:from>
    <xdr:to>
      <xdr:col>18</xdr:col>
      <xdr:colOff>266700</xdr:colOff>
      <xdr:row>28</xdr:row>
      <xdr:rowOff>83820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9C5BE25-9E4E-4CAA-AD01-DF93BDC131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304800</xdr:colOff>
      <xdr:row>14</xdr:row>
      <xdr:rowOff>7620</xdr:rowOff>
    </xdr:from>
    <xdr:to>
      <xdr:col>23</xdr:col>
      <xdr:colOff>541020</xdr:colOff>
      <xdr:row>30</xdr:row>
      <xdr:rowOff>144780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E916A80-D3C7-4356-8E0A-96B73D0EC4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ha" refreshedDate="46254.757060995369" createdVersion="8" refreshedVersion="8" minRefreshableVersion="3" recordCount="239" xr:uid="{AA0E9BE0-9022-4C78-85FD-C231C5F41FC4}">
  <cacheSource type="worksheet">
    <worksheetSource ref="A1:K240" sheet="Bank_Transactions"/>
  </cacheSource>
  <cacheFields count="11">
    <cacheField name="TransactionID" numFmtId="49">
      <sharedItems containsSemiMixedTypes="0" containsString="0" containsNumber="1" containsInteger="1" minValue="10002" maxValue="10250"/>
    </cacheField>
    <cacheField name="CustomerID" numFmtId="49">
      <sharedItems count="10">
        <s v="C005"/>
        <s v="C008"/>
        <s v="C010"/>
        <s v="C004"/>
        <s v="C009"/>
        <s v="C002"/>
        <s v="C007"/>
        <s v="C003"/>
        <s v="C001"/>
        <s v="C006"/>
      </sharedItems>
    </cacheField>
    <cacheField name="CustomerName" numFmtId="49">
      <sharedItems count="10">
        <s v="khaled Saleh"/>
        <s v="Lina Fadi"/>
        <s v="Hassan Noor"/>
        <s v="rana Samir"/>
        <s v="tareq Fadi"/>
        <s v="sara Khalid"/>
        <s v="Yousef Adel"/>
        <s v="Omar Zaid"/>
        <s v="Ahmed Ali"/>
        <s v="Nada Jamal"/>
      </sharedItems>
    </cacheField>
    <cacheField name="AccountType" numFmtId="2">
      <sharedItems count="3">
        <s v="Saving"/>
        <s v="Salary"/>
        <s v="current"/>
      </sharedItems>
    </cacheField>
    <cacheField name="Amount" numFmtId="1">
      <sharedItems containsSemiMixedTypes="0" containsString="0" containsNumber="1" containsInteger="1" minValue="106" maxValue="4993"/>
    </cacheField>
    <cacheField name="TransactionDate" numFmtId="14">
      <sharedItems containsSemiMixedTypes="0" containsNonDate="0" containsDate="1" containsString="0" minDate="2019-01-03T00:00:00" maxDate="2025-01-08T00:00:00"/>
    </cacheField>
    <cacheField name="Day" numFmtId="0">
      <sharedItems containsSemiMixedTypes="0" containsString="0" containsNumber="1" containsInteger="1" minValue="1" maxValue="31"/>
    </cacheField>
    <cacheField name="Year" numFmtId="0">
      <sharedItems containsSemiMixedTypes="0" containsString="0" containsNumber="1" containsInteger="1" minValue="2019" maxValue="2025"/>
    </cacheField>
    <cacheField name="Month" numFmtId="0">
      <sharedItems/>
    </cacheField>
    <cacheField name="Branch" numFmtId="0">
      <sharedItems count="4">
        <s v="Amman Main"/>
        <s v="Zarqa"/>
        <s v="Aqaba"/>
        <s v="Irbid"/>
      </sharedItems>
    </cacheField>
    <cacheField name="Transaction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">
  <r>
    <n v="10002"/>
    <x v="0"/>
    <x v="0"/>
    <x v="0"/>
    <n v="3708"/>
    <d v="2021-04-07T00:00:00"/>
    <n v="7"/>
    <n v="2021"/>
    <s v="Apr"/>
    <x v="0"/>
    <s v="Deposit"/>
  </r>
  <r>
    <n v="10003"/>
    <x v="1"/>
    <x v="1"/>
    <x v="0"/>
    <n v="439"/>
    <d v="2020-10-11T00:00:00"/>
    <n v="11"/>
    <n v="2020"/>
    <s v="Oct"/>
    <x v="1"/>
    <s v="Withdrawal"/>
  </r>
  <r>
    <n v="10004"/>
    <x v="2"/>
    <x v="2"/>
    <x v="1"/>
    <n v="3581"/>
    <d v="2019-12-15T00:00:00"/>
    <n v="15"/>
    <n v="2019"/>
    <s v="Dec"/>
    <x v="2"/>
    <s v="Deposit"/>
  </r>
  <r>
    <n v="10005"/>
    <x v="3"/>
    <x v="3"/>
    <x v="0"/>
    <n v="3396"/>
    <d v="2023-10-06T00:00:00"/>
    <n v="6"/>
    <n v="2023"/>
    <s v="Oct"/>
    <x v="3"/>
    <s v="Withdrawal"/>
  </r>
  <r>
    <n v="10006"/>
    <x v="4"/>
    <x v="4"/>
    <x v="0"/>
    <n v="1826"/>
    <d v="2021-01-14T00:00:00"/>
    <n v="14"/>
    <n v="2021"/>
    <s v="Jan"/>
    <x v="3"/>
    <s v="Withdrawal"/>
  </r>
  <r>
    <n v="10007"/>
    <x v="3"/>
    <x v="3"/>
    <x v="2"/>
    <n v="1007"/>
    <d v="2021-12-20T00:00:00"/>
    <n v="20"/>
    <n v="2021"/>
    <s v="Dec"/>
    <x v="3"/>
    <s v="Withdrawal"/>
  </r>
  <r>
    <n v="10008"/>
    <x v="0"/>
    <x v="0"/>
    <x v="0"/>
    <n v="1439"/>
    <d v="2020-05-21T00:00:00"/>
    <n v="21"/>
    <n v="2020"/>
    <s v="May"/>
    <x v="0"/>
    <s v="Deposit"/>
  </r>
  <r>
    <n v="10009"/>
    <x v="4"/>
    <x v="4"/>
    <x v="2"/>
    <n v="551"/>
    <d v="2022-12-19T00:00:00"/>
    <n v="19"/>
    <n v="2022"/>
    <s v="Dec"/>
    <x v="3"/>
    <s v="Withdrawal"/>
  </r>
  <r>
    <n v="10010"/>
    <x v="5"/>
    <x v="5"/>
    <x v="0"/>
    <n v="4500"/>
    <d v="2022-12-22T00:00:00"/>
    <n v="22"/>
    <n v="2022"/>
    <s v="Dec"/>
    <x v="0"/>
    <s v="Withdrawal"/>
  </r>
  <r>
    <n v="10011"/>
    <x v="6"/>
    <x v="6"/>
    <x v="0"/>
    <n v="2104"/>
    <d v="2020-11-18T00:00:00"/>
    <n v="18"/>
    <n v="2020"/>
    <s v="Nov"/>
    <x v="0"/>
    <s v="Deposit"/>
  </r>
  <r>
    <n v="10012"/>
    <x v="4"/>
    <x v="4"/>
    <x v="2"/>
    <n v="2724"/>
    <d v="2023-09-20T00:00:00"/>
    <n v="20"/>
    <n v="2023"/>
    <s v="Sep"/>
    <x v="3"/>
    <s v="Withdrawal"/>
  </r>
  <r>
    <n v="10013"/>
    <x v="3"/>
    <x v="3"/>
    <x v="2"/>
    <n v="4301"/>
    <d v="2022-06-10T00:00:00"/>
    <n v="10"/>
    <n v="2022"/>
    <s v="Jun"/>
    <x v="3"/>
    <s v="Withdrawal"/>
  </r>
  <r>
    <n v="10014"/>
    <x v="1"/>
    <x v="1"/>
    <x v="2"/>
    <n v="330"/>
    <d v="2020-06-16T00:00:00"/>
    <n v="16"/>
    <n v="2020"/>
    <s v="Jun"/>
    <x v="1"/>
    <s v="Withdrawal"/>
  </r>
  <r>
    <n v="10015"/>
    <x v="4"/>
    <x v="4"/>
    <x v="2"/>
    <n v="2254"/>
    <d v="2023-11-20T00:00:00"/>
    <n v="20"/>
    <n v="2023"/>
    <s v="Nov"/>
    <x v="3"/>
    <s v="Withdrawal"/>
  </r>
  <r>
    <n v="10016"/>
    <x v="4"/>
    <x v="4"/>
    <x v="1"/>
    <n v="3380"/>
    <d v="2021-10-05T00:00:00"/>
    <n v="5"/>
    <n v="2021"/>
    <s v="Oct"/>
    <x v="3"/>
    <s v="Withdrawal"/>
  </r>
  <r>
    <n v="10017"/>
    <x v="7"/>
    <x v="7"/>
    <x v="2"/>
    <n v="4520"/>
    <d v="2019-12-30T00:00:00"/>
    <n v="30"/>
    <n v="2019"/>
    <s v="Dec"/>
    <x v="0"/>
    <s v="Withdrawal"/>
  </r>
  <r>
    <n v="10018"/>
    <x v="2"/>
    <x v="2"/>
    <x v="2"/>
    <n v="2500"/>
    <d v="2020-12-28T00:00:00"/>
    <n v="28"/>
    <n v="2020"/>
    <s v="Dec"/>
    <x v="2"/>
    <s v="Deposit"/>
  </r>
  <r>
    <n v="10019"/>
    <x v="8"/>
    <x v="8"/>
    <x v="2"/>
    <n v="3512"/>
    <d v="2023-02-26T00:00:00"/>
    <n v="26"/>
    <n v="2023"/>
    <s v="Feb"/>
    <x v="1"/>
    <s v="Withdrawal"/>
  </r>
  <r>
    <n v="10020"/>
    <x v="2"/>
    <x v="2"/>
    <x v="1"/>
    <n v="3929"/>
    <d v="2021-09-09T00:00:00"/>
    <n v="9"/>
    <n v="2021"/>
    <s v="Sep"/>
    <x v="2"/>
    <s v="Deposit"/>
  </r>
  <r>
    <n v="10021"/>
    <x v="3"/>
    <x v="3"/>
    <x v="0"/>
    <n v="239"/>
    <d v="2022-07-29T00:00:00"/>
    <n v="29"/>
    <n v="2022"/>
    <s v="Jul"/>
    <x v="3"/>
    <s v="Withdrawal"/>
  </r>
  <r>
    <n v="10022"/>
    <x v="2"/>
    <x v="2"/>
    <x v="2"/>
    <n v="4993"/>
    <d v="2021-02-19T00:00:00"/>
    <n v="19"/>
    <n v="2021"/>
    <s v="Feb"/>
    <x v="2"/>
    <s v="Deposit"/>
  </r>
  <r>
    <n v="10023"/>
    <x v="5"/>
    <x v="5"/>
    <x v="2"/>
    <n v="2784"/>
    <d v="2023-01-24T00:00:00"/>
    <n v="24"/>
    <n v="2023"/>
    <s v="Jan"/>
    <x v="0"/>
    <s v="Withdrawal"/>
  </r>
  <r>
    <n v="10024"/>
    <x v="8"/>
    <x v="8"/>
    <x v="0"/>
    <n v="4097"/>
    <d v="2020-09-25T00:00:00"/>
    <n v="25"/>
    <n v="2020"/>
    <s v="Sep"/>
    <x v="1"/>
    <s v="Withdrawal"/>
  </r>
  <r>
    <n v="10025"/>
    <x v="7"/>
    <x v="7"/>
    <x v="2"/>
    <n v="1345"/>
    <d v="2020-04-29T00:00:00"/>
    <n v="29"/>
    <n v="2020"/>
    <s v="Apr"/>
    <x v="0"/>
    <s v="Withdrawal"/>
  </r>
  <r>
    <n v="10026"/>
    <x v="5"/>
    <x v="5"/>
    <x v="2"/>
    <n v="4690"/>
    <d v="2020-08-10T00:00:00"/>
    <n v="10"/>
    <n v="2020"/>
    <s v="Aug"/>
    <x v="0"/>
    <s v="Withdrawal"/>
  </r>
  <r>
    <n v="10027"/>
    <x v="8"/>
    <x v="8"/>
    <x v="0"/>
    <n v="2158"/>
    <d v="2021-08-25T00:00:00"/>
    <n v="25"/>
    <n v="2021"/>
    <s v="Aug"/>
    <x v="1"/>
    <s v="Withdrawal"/>
  </r>
  <r>
    <n v="10028"/>
    <x v="0"/>
    <x v="0"/>
    <x v="0"/>
    <n v="1636"/>
    <d v="2024-02-02T00:00:00"/>
    <n v="2"/>
    <n v="2024"/>
    <s v="Feb"/>
    <x v="0"/>
    <s v="Deposit"/>
  </r>
  <r>
    <n v="10029"/>
    <x v="3"/>
    <x v="3"/>
    <x v="0"/>
    <n v="2854"/>
    <d v="2021-12-22T00:00:00"/>
    <n v="22"/>
    <n v="2021"/>
    <s v="Dec"/>
    <x v="3"/>
    <s v="Withdrawal"/>
  </r>
  <r>
    <n v="10030"/>
    <x v="9"/>
    <x v="9"/>
    <x v="2"/>
    <n v="1758"/>
    <d v="2022-04-08T00:00:00"/>
    <n v="8"/>
    <n v="2022"/>
    <s v="Apr"/>
    <x v="0"/>
    <s v="Withdrawal"/>
  </r>
  <r>
    <n v="10031"/>
    <x v="4"/>
    <x v="4"/>
    <x v="2"/>
    <n v="594"/>
    <d v="2021-02-19T00:00:00"/>
    <n v="19"/>
    <n v="2021"/>
    <s v="Feb"/>
    <x v="3"/>
    <s v="Withdrawal"/>
  </r>
  <r>
    <n v="10032"/>
    <x v="6"/>
    <x v="6"/>
    <x v="1"/>
    <n v="677"/>
    <d v="2019-08-29T00:00:00"/>
    <n v="29"/>
    <n v="2019"/>
    <s v="Aug"/>
    <x v="0"/>
    <s v="Deposit"/>
  </r>
  <r>
    <n v="10033"/>
    <x v="3"/>
    <x v="3"/>
    <x v="0"/>
    <n v="1802"/>
    <d v="2019-06-10T00:00:00"/>
    <n v="10"/>
    <n v="2019"/>
    <s v="Jun"/>
    <x v="3"/>
    <s v="Withdrawal"/>
  </r>
  <r>
    <n v="10034"/>
    <x v="7"/>
    <x v="7"/>
    <x v="1"/>
    <n v="913"/>
    <d v="2019-10-08T00:00:00"/>
    <n v="8"/>
    <n v="2019"/>
    <s v="Oct"/>
    <x v="0"/>
    <s v="Withdrawal"/>
  </r>
  <r>
    <n v="10035"/>
    <x v="2"/>
    <x v="2"/>
    <x v="1"/>
    <n v="3002"/>
    <d v="2021-03-29T00:00:00"/>
    <n v="29"/>
    <n v="2021"/>
    <s v="Mar"/>
    <x v="2"/>
    <s v="Deposit"/>
  </r>
  <r>
    <n v="10036"/>
    <x v="0"/>
    <x v="0"/>
    <x v="2"/>
    <n v="2602"/>
    <d v="2023-03-29T00:00:00"/>
    <n v="29"/>
    <n v="2023"/>
    <s v="Mar"/>
    <x v="0"/>
    <s v="Deposit"/>
  </r>
  <r>
    <n v="10037"/>
    <x v="1"/>
    <x v="1"/>
    <x v="1"/>
    <n v="3243"/>
    <d v="2024-09-30T00:00:00"/>
    <n v="30"/>
    <n v="2024"/>
    <s v="Sep"/>
    <x v="1"/>
    <s v="Withdrawal"/>
  </r>
  <r>
    <n v="10039"/>
    <x v="5"/>
    <x v="5"/>
    <x v="2"/>
    <n v="2501"/>
    <d v="2023-12-26T00:00:00"/>
    <n v="26"/>
    <n v="2023"/>
    <s v="Dec"/>
    <x v="0"/>
    <s v="Withdrawal"/>
  </r>
  <r>
    <n v="10040"/>
    <x v="8"/>
    <x v="8"/>
    <x v="2"/>
    <n v="4557"/>
    <d v="2020-11-06T00:00:00"/>
    <n v="6"/>
    <n v="2020"/>
    <s v="Nov"/>
    <x v="1"/>
    <s v="Withdrawal"/>
  </r>
  <r>
    <n v="10041"/>
    <x v="2"/>
    <x v="2"/>
    <x v="0"/>
    <n v="797"/>
    <d v="2022-02-06T00:00:00"/>
    <n v="6"/>
    <n v="2022"/>
    <s v="Feb"/>
    <x v="2"/>
    <s v="Deposit"/>
  </r>
  <r>
    <n v="10042"/>
    <x v="7"/>
    <x v="7"/>
    <x v="0"/>
    <n v="4480"/>
    <d v="2021-11-05T00:00:00"/>
    <n v="5"/>
    <n v="2021"/>
    <s v="Nov"/>
    <x v="0"/>
    <s v="Withdrawal"/>
  </r>
  <r>
    <n v="10043"/>
    <x v="2"/>
    <x v="2"/>
    <x v="2"/>
    <n v="4750"/>
    <d v="2023-10-11T00:00:00"/>
    <n v="11"/>
    <n v="2023"/>
    <s v="Oct"/>
    <x v="2"/>
    <s v="Deposit"/>
  </r>
  <r>
    <n v="10044"/>
    <x v="4"/>
    <x v="4"/>
    <x v="2"/>
    <n v="983"/>
    <d v="2020-08-28T00:00:00"/>
    <n v="28"/>
    <n v="2020"/>
    <s v="Aug"/>
    <x v="3"/>
    <s v="Withdrawal"/>
  </r>
  <r>
    <n v="10045"/>
    <x v="6"/>
    <x v="6"/>
    <x v="0"/>
    <n v="1497"/>
    <d v="2024-06-26T00:00:00"/>
    <n v="26"/>
    <n v="2024"/>
    <s v="Jun"/>
    <x v="0"/>
    <s v="Deposit"/>
  </r>
  <r>
    <n v="10046"/>
    <x v="2"/>
    <x v="2"/>
    <x v="2"/>
    <n v="2362"/>
    <d v="2019-07-12T00:00:00"/>
    <n v="12"/>
    <n v="2019"/>
    <s v="Jul"/>
    <x v="2"/>
    <s v="Deposit"/>
  </r>
  <r>
    <n v="10047"/>
    <x v="4"/>
    <x v="4"/>
    <x v="0"/>
    <n v="299"/>
    <d v="2023-06-25T00:00:00"/>
    <n v="25"/>
    <n v="2023"/>
    <s v="Jun"/>
    <x v="3"/>
    <s v="Withdrawal"/>
  </r>
  <r>
    <n v="10048"/>
    <x v="8"/>
    <x v="8"/>
    <x v="1"/>
    <n v="4111"/>
    <d v="2019-06-17T00:00:00"/>
    <n v="17"/>
    <n v="2019"/>
    <s v="Jun"/>
    <x v="1"/>
    <s v="Withdrawal"/>
  </r>
  <r>
    <n v="10049"/>
    <x v="5"/>
    <x v="5"/>
    <x v="1"/>
    <n v="3342"/>
    <d v="2021-06-11T00:00:00"/>
    <n v="11"/>
    <n v="2021"/>
    <s v="Jun"/>
    <x v="0"/>
    <s v="Withdrawal"/>
  </r>
  <r>
    <n v="10050"/>
    <x v="7"/>
    <x v="7"/>
    <x v="1"/>
    <n v="3982"/>
    <d v="2023-07-13T00:00:00"/>
    <n v="13"/>
    <n v="2023"/>
    <s v="Jul"/>
    <x v="0"/>
    <s v="Withdrawal"/>
  </r>
  <r>
    <n v="10051"/>
    <x v="3"/>
    <x v="3"/>
    <x v="0"/>
    <n v="3677"/>
    <d v="2020-09-19T00:00:00"/>
    <n v="19"/>
    <n v="2020"/>
    <s v="Sep"/>
    <x v="3"/>
    <s v="Withdrawal"/>
  </r>
  <r>
    <n v="10052"/>
    <x v="6"/>
    <x v="6"/>
    <x v="0"/>
    <n v="4466"/>
    <d v="2020-10-26T00:00:00"/>
    <n v="26"/>
    <n v="2020"/>
    <s v="Oct"/>
    <x v="0"/>
    <s v="Deposit"/>
  </r>
  <r>
    <n v="10053"/>
    <x v="6"/>
    <x v="6"/>
    <x v="1"/>
    <n v="3283"/>
    <d v="2020-05-20T00:00:00"/>
    <n v="20"/>
    <n v="2020"/>
    <s v="May"/>
    <x v="0"/>
    <s v="Deposit"/>
  </r>
  <r>
    <n v="10054"/>
    <x v="7"/>
    <x v="7"/>
    <x v="1"/>
    <n v="2262"/>
    <d v="2021-01-29T00:00:00"/>
    <n v="29"/>
    <n v="2021"/>
    <s v="Jan"/>
    <x v="0"/>
    <s v="Withdrawal"/>
  </r>
  <r>
    <n v="10055"/>
    <x v="2"/>
    <x v="2"/>
    <x v="1"/>
    <n v="157"/>
    <d v="2021-07-12T00:00:00"/>
    <n v="12"/>
    <n v="2021"/>
    <s v="Jul"/>
    <x v="2"/>
    <s v="Deposit"/>
  </r>
  <r>
    <n v="10056"/>
    <x v="6"/>
    <x v="6"/>
    <x v="0"/>
    <n v="1798"/>
    <d v="2021-01-17T00:00:00"/>
    <n v="17"/>
    <n v="2021"/>
    <s v="Jan"/>
    <x v="0"/>
    <s v="Deposit"/>
  </r>
  <r>
    <n v="10057"/>
    <x v="7"/>
    <x v="7"/>
    <x v="2"/>
    <n v="2205"/>
    <d v="2019-03-26T00:00:00"/>
    <n v="26"/>
    <n v="2019"/>
    <s v="Mar"/>
    <x v="0"/>
    <s v="Withdrawal"/>
  </r>
  <r>
    <n v="10058"/>
    <x v="6"/>
    <x v="6"/>
    <x v="1"/>
    <n v="3127"/>
    <d v="2023-04-12T00:00:00"/>
    <n v="12"/>
    <n v="2023"/>
    <s v="Apr"/>
    <x v="0"/>
    <s v="Deposit"/>
  </r>
  <r>
    <n v="10059"/>
    <x v="5"/>
    <x v="5"/>
    <x v="2"/>
    <n v="3334"/>
    <d v="2024-04-15T00:00:00"/>
    <n v="15"/>
    <n v="2024"/>
    <s v="Apr"/>
    <x v="0"/>
    <s v="Withdrawal"/>
  </r>
  <r>
    <n v="10060"/>
    <x v="0"/>
    <x v="0"/>
    <x v="1"/>
    <n v="1521"/>
    <d v="2024-07-27T00:00:00"/>
    <n v="27"/>
    <n v="2024"/>
    <s v="Jul"/>
    <x v="0"/>
    <s v="Deposit"/>
  </r>
  <r>
    <n v="10062"/>
    <x v="6"/>
    <x v="6"/>
    <x v="2"/>
    <n v="3196"/>
    <d v="2022-10-11T00:00:00"/>
    <n v="11"/>
    <n v="2022"/>
    <s v="Oct"/>
    <x v="0"/>
    <s v="Deposit"/>
  </r>
  <r>
    <n v="10063"/>
    <x v="7"/>
    <x v="7"/>
    <x v="1"/>
    <n v="3183"/>
    <d v="2021-05-02T00:00:00"/>
    <n v="2"/>
    <n v="2021"/>
    <s v="May"/>
    <x v="0"/>
    <s v="Withdrawal"/>
  </r>
  <r>
    <n v="10064"/>
    <x v="4"/>
    <x v="4"/>
    <x v="0"/>
    <n v="689"/>
    <d v="2024-02-23T00:00:00"/>
    <n v="23"/>
    <n v="2024"/>
    <s v="Feb"/>
    <x v="3"/>
    <s v="Withdrawal"/>
  </r>
  <r>
    <n v="10065"/>
    <x v="6"/>
    <x v="6"/>
    <x v="2"/>
    <n v="1348"/>
    <d v="2022-04-23T00:00:00"/>
    <n v="23"/>
    <n v="2022"/>
    <s v="Apr"/>
    <x v="0"/>
    <s v="Deposit"/>
  </r>
  <r>
    <n v="10066"/>
    <x v="3"/>
    <x v="3"/>
    <x v="2"/>
    <n v="3898"/>
    <d v="2020-08-02T00:00:00"/>
    <n v="2"/>
    <n v="2020"/>
    <s v="Aug"/>
    <x v="3"/>
    <s v="Withdrawal"/>
  </r>
  <r>
    <n v="10067"/>
    <x v="1"/>
    <x v="1"/>
    <x v="1"/>
    <n v="4768"/>
    <d v="2024-10-02T00:00:00"/>
    <n v="2"/>
    <n v="2024"/>
    <s v="Oct"/>
    <x v="1"/>
    <s v="Withdrawal"/>
  </r>
  <r>
    <n v="10068"/>
    <x v="6"/>
    <x v="6"/>
    <x v="1"/>
    <n v="1017"/>
    <d v="2020-08-03T00:00:00"/>
    <n v="3"/>
    <n v="2020"/>
    <s v="Aug"/>
    <x v="0"/>
    <s v="Deposit"/>
  </r>
  <r>
    <n v="10069"/>
    <x v="8"/>
    <x v="8"/>
    <x v="2"/>
    <n v="1895"/>
    <d v="2022-01-29T00:00:00"/>
    <n v="29"/>
    <n v="2022"/>
    <s v="Jan"/>
    <x v="1"/>
    <s v="Withdrawal"/>
  </r>
  <r>
    <n v="10070"/>
    <x v="1"/>
    <x v="1"/>
    <x v="2"/>
    <n v="763"/>
    <d v="2019-02-01T00:00:00"/>
    <n v="1"/>
    <n v="2019"/>
    <s v="Feb"/>
    <x v="1"/>
    <s v="Withdrawal"/>
  </r>
  <r>
    <n v="10071"/>
    <x v="2"/>
    <x v="2"/>
    <x v="0"/>
    <n v="3491"/>
    <d v="2022-01-14T00:00:00"/>
    <n v="14"/>
    <n v="2022"/>
    <s v="Jan"/>
    <x v="2"/>
    <s v="Deposit"/>
  </r>
  <r>
    <n v="10072"/>
    <x v="7"/>
    <x v="7"/>
    <x v="0"/>
    <n v="449"/>
    <d v="2019-01-20T00:00:00"/>
    <n v="20"/>
    <n v="2019"/>
    <s v="Jan"/>
    <x v="0"/>
    <s v="Withdrawal"/>
  </r>
  <r>
    <n v="10073"/>
    <x v="8"/>
    <x v="8"/>
    <x v="0"/>
    <n v="3024"/>
    <d v="2023-10-03T00:00:00"/>
    <n v="3"/>
    <n v="2023"/>
    <s v="Oct"/>
    <x v="1"/>
    <s v="Withdrawal"/>
  </r>
  <r>
    <n v="10074"/>
    <x v="4"/>
    <x v="4"/>
    <x v="1"/>
    <n v="3491"/>
    <d v="2020-11-09T00:00:00"/>
    <n v="9"/>
    <n v="2020"/>
    <s v="Nov"/>
    <x v="3"/>
    <s v="Withdrawal"/>
  </r>
  <r>
    <n v="10076"/>
    <x v="0"/>
    <x v="0"/>
    <x v="2"/>
    <n v="2130"/>
    <d v="2024-02-27T00:00:00"/>
    <n v="27"/>
    <n v="2024"/>
    <s v="Feb"/>
    <x v="0"/>
    <s v="Deposit"/>
  </r>
  <r>
    <n v="10077"/>
    <x v="4"/>
    <x v="4"/>
    <x v="0"/>
    <n v="1936"/>
    <d v="2019-08-29T00:00:00"/>
    <n v="29"/>
    <n v="2019"/>
    <s v="Aug"/>
    <x v="3"/>
    <s v="Withdrawal"/>
  </r>
  <r>
    <n v="10078"/>
    <x v="3"/>
    <x v="3"/>
    <x v="0"/>
    <n v="4168"/>
    <d v="2019-02-08T00:00:00"/>
    <n v="8"/>
    <n v="2019"/>
    <s v="Feb"/>
    <x v="3"/>
    <s v="Withdrawal"/>
  </r>
  <r>
    <n v="10079"/>
    <x v="6"/>
    <x v="6"/>
    <x v="0"/>
    <n v="2983"/>
    <d v="2020-07-13T00:00:00"/>
    <n v="13"/>
    <n v="2020"/>
    <s v="Jul"/>
    <x v="0"/>
    <s v="Deposit"/>
  </r>
  <r>
    <n v="10080"/>
    <x v="2"/>
    <x v="2"/>
    <x v="2"/>
    <n v="4641"/>
    <d v="2021-09-30T00:00:00"/>
    <n v="30"/>
    <n v="2021"/>
    <s v="Sep"/>
    <x v="2"/>
    <s v="Deposit"/>
  </r>
  <r>
    <n v="10081"/>
    <x v="9"/>
    <x v="9"/>
    <x v="2"/>
    <n v="954"/>
    <d v="2019-06-10T00:00:00"/>
    <n v="10"/>
    <n v="2019"/>
    <s v="Jun"/>
    <x v="0"/>
    <s v="Withdrawal"/>
  </r>
  <r>
    <n v="10082"/>
    <x v="3"/>
    <x v="3"/>
    <x v="1"/>
    <n v="106"/>
    <d v="2020-05-17T00:00:00"/>
    <n v="17"/>
    <n v="2020"/>
    <s v="May"/>
    <x v="3"/>
    <s v="Withdrawal"/>
  </r>
  <r>
    <n v="10083"/>
    <x v="3"/>
    <x v="3"/>
    <x v="1"/>
    <n v="1804"/>
    <d v="2022-02-04T00:00:00"/>
    <n v="4"/>
    <n v="2022"/>
    <s v="Feb"/>
    <x v="3"/>
    <s v="Withdrawal"/>
  </r>
  <r>
    <n v="10084"/>
    <x v="2"/>
    <x v="2"/>
    <x v="2"/>
    <n v="2777"/>
    <d v="2020-02-14T00:00:00"/>
    <n v="14"/>
    <n v="2020"/>
    <s v="Feb"/>
    <x v="2"/>
    <s v="Deposit"/>
  </r>
  <r>
    <n v="10085"/>
    <x v="6"/>
    <x v="6"/>
    <x v="2"/>
    <n v="3526"/>
    <d v="2021-09-10T00:00:00"/>
    <n v="10"/>
    <n v="2021"/>
    <s v="Sep"/>
    <x v="0"/>
    <s v="Deposit"/>
  </r>
  <r>
    <n v="10086"/>
    <x v="5"/>
    <x v="5"/>
    <x v="0"/>
    <n v="3255"/>
    <d v="2020-11-14T00:00:00"/>
    <n v="14"/>
    <n v="2020"/>
    <s v="Nov"/>
    <x v="0"/>
    <s v="Withdrawal"/>
  </r>
  <r>
    <n v="10087"/>
    <x v="1"/>
    <x v="1"/>
    <x v="0"/>
    <n v="2779"/>
    <d v="2020-01-04T00:00:00"/>
    <n v="4"/>
    <n v="2020"/>
    <s v="Jan"/>
    <x v="1"/>
    <s v="Withdrawal"/>
  </r>
  <r>
    <n v="10088"/>
    <x v="1"/>
    <x v="1"/>
    <x v="0"/>
    <n v="3550"/>
    <d v="2021-12-22T00:00:00"/>
    <n v="22"/>
    <n v="2021"/>
    <s v="Dec"/>
    <x v="1"/>
    <s v="Withdrawal"/>
  </r>
  <r>
    <n v="10089"/>
    <x v="0"/>
    <x v="0"/>
    <x v="0"/>
    <n v="4769"/>
    <d v="2021-08-24T00:00:00"/>
    <n v="24"/>
    <n v="2021"/>
    <s v="Aug"/>
    <x v="0"/>
    <s v="Deposit"/>
  </r>
  <r>
    <n v="10090"/>
    <x v="7"/>
    <x v="7"/>
    <x v="2"/>
    <n v="4503"/>
    <d v="2024-11-11T00:00:00"/>
    <n v="11"/>
    <n v="2024"/>
    <s v="Nov"/>
    <x v="0"/>
    <s v="Withdrawal"/>
  </r>
  <r>
    <n v="10091"/>
    <x v="0"/>
    <x v="0"/>
    <x v="0"/>
    <n v="4088"/>
    <d v="2020-01-18T00:00:00"/>
    <n v="18"/>
    <n v="2020"/>
    <s v="Jan"/>
    <x v="0"/>
    <s v="Deposit"/>
  </r>
  <r>
    <n v="10092"/>
    <x v="7"/>
    <x v="7"/>
    <x v="1"/>
    <n v="2689"/>
    <d v="2021-01-23T00:00:00"/>
    <n v="23"/>
    <n v="2021"/>
    <s v="Jan"/>
    <x v="0"/>
    <s v="Withdrawal"/>
  </r>
  <r>
    <n v="10093"/>
    <x v="0"/>
    <x v="0"/>
    <x v="0"/>
    <n v="1496"/>
    <d v="2022-06-30T00:00:00"/>
    <n v="30"/>
    <n v="2022"/>
    <s v="Jun"/>
    <x v="0"/>
    <s v="Deposit"/>
  </r>
  <r>
    <n v="10094"/>
    <x v="6"/>
    <x v="6"/>
    <x v="0"/>
    <n v="2263"/>
    <d v="2019-06-20T00:00:00"/>
    <n v="20"/>
    <n v="2019"/>
    <s v="Jun"/>
    <x v="0"/>
    <s v="Deposit"/>
  </r>
  <r>
    <n v="10095"/>
    <x v="1"/>
    <x v="1"/>
    <x v="0"/>
    <n v="1230"/>
    <d v="2022-06-16T00:00:00"/>
    <n v="16"/>
    <n v="2022"/>
    <s v="Jun"/>
    <x v="1"/>
    <s v="Withdrawal"/>
  </r>
  <r>
    <n v="10096"/>
    <x v="2"/>
    <x v="2"/>
    <x v="2"/>
    <n v="1765"/>
    <d v="2022-09-02T00:00:00"/>
    <n v="2"/>
    <n v="2022"/>
    <s v="Sep"/>
    <x v="2"/>
    <s v="Deposit"/>
  </r>
  <r>
    <n v="10097"/>
    <x v="3"/>
    <x v="3"/>
    <x v="0"/>
    <n v="1280"/>
    <d v="2022-02-27T00:00:00"/>
    <n v="27"/>
    <n v="2022"/>
    <s v="Feb"/>
    <x v="3"/>
    <s v="Withdrawal"/>
  </r>
  <r>
    <n v="10098"/>
    <x v="9"/>
    <x v="9"/>
    <x v="0"/>
    <n v="3337"/>
    <d v="2019-12-01T00:00:00"/>
    <n v="1"/>
    <n v="2019"/>
    <s v="Dec"/>
    <x v="0"/>
    <s v="Withdrawal"/>
  </r>
  <r>
    <n v="10099"/>
    <x v="9"/>
    <x v="9"/>
    <x v="2"/>
    <n v="3454"/>
    <d v="2024-10-06T00:00:00"/>
    <n v="6"/>
    <n v="2024"/>
    <s v="Oct"/>
    <x v="0"/>
    <s v="Withdrawal"/>
  </r>
  <r>
    <n v="10100"/>
    <x v="0"/>
    <x v="0"/>
    <x v="2"/>
    <n v="907"/>
    <d v="2023-06-22T00:00:00"/>
    <n v="22"/>
    <n v="2023"/>
    <s v="Jun"/>
    <x v="0"/>
    <s v="Deposit"/>
  </r>
  <r>
    <n v="10101"/>
    <x v="1"/>
    <x v="1"/>
    <x v="2"/>
    <n v="2823"/>
    <d v="2022-09-24T00:00:00"/>
    <n v="24"/>
    <n v="2022"/>
    <s v="Sep"/>
    <x v="1"/>
    <s v="Withdrawal"/>
  </r>
  <r>
    <n v="10102"/>
    <x v="6"/>
    <x v="6"/>
    <x v="0"/>
    <n v="333"/>
    <d v="2023-10-13T00:00:00"/>
    <n v="13"/>
    <n v="2023"/>
    <s v="Oct"/>
    <x v="0"/>
    <s v="Deposit"/>
  </r>
  <r>
    <n v="10103"/>
    <x v="2"/>
    <x v="2"/>
    <x v="0"/>
    <n v="3394"/>
    <d v="2024-07-02T00:00:00"/>
    <n v="2"/>
    <n v="2024"/>
    <s v="Jul"/>
    <x v="2"/>
    <s v="Deposit"/>
  </r>
  <r>
    <n v="10104"/>
    <x v="6"/>
    <x v="6"/>
    <x v="2"/>
    <n v="1930"/>
    <d v="2020-10-16T00:00:00"/>
    <n v="16"/>
    <n v="2020"/>
    <s v="Oct"/>
    <x v="0"/>
    <s v="Deposit"/>
  </r>
  <r>
    <n v="10105"/>
    <x v="0"/>
    <x v="0"/>
    <x v="0"/>
    <n v="846"/>
    <d v="2023-04-23T00:00:00"/>
    <n v="23"/>
    <n v="2023"/>
    <s v="Apr"/>
    <x v="0"/>
    <s v="Deposit"/>
  </r>
  <r>
    <n v="10106"/>
    <x v="0"/>
    <x v="0"/>
    <x v="1"/>
    <n v="2824"/>
    <d v="2021-01-02T00:00:00"/>
    <n v="2"/>
    <n v="2021"/>
    <s v="Jan"/>
    <x v="0"/>
    <s v="Deposit"/>
  </r>
  <r>
    <n v="10107"/>
    <x v="3"/>
    <x v="3"/>
    <x v="0"/>
    <n v="2953"/>
    <d v="2023-04-17T00:00:00"/>
    <n v="17"/>
    <n v="2023"/>
    <s v="Apr"/>
    <x v="3"/>
    <s v="Withdrawal"/>
  </r>
  <r>
    <n v="10108"/>
    <x v="3"/>
    <x v="3"/>
    <x v="0"/>
    <n v="668"/>
    <d v="2024-09-22T00:00:00"/>
    <n v="22"/>
    <n v="2024"/>
    <s v="Sep"/>
    <x v="3"/>
    <s v="Withdrawal"/>
  </r>
  <r>
    <n v="10109"/>
    <x v="8"/>
    <x v="8"/>
    <x v="1"/>
    <n v="4229"/>
    <d v="2020-02-15T00:00:00"/>
    <n v="15"/>
    <n v="2020"/>
    <s v="Feb"/>
    <x v="1"/>
    <s v="Withdrawal"/>
  </r>
  <r>
    <n v="10110"/>
    <x v="3"/>
    <x v="3"/>
    <x v="2"/>
    <n v="431"/>
    <d v="2024-04-19T00:00:00"/>
    <n v="19"/>
    <n v="2024"/>
    <s v="Apr"/>
    <x v="3"/>
    <s v="Withdrawal"/>
  </r>
  <r>
    <n v="10111"/>
    <x v="8"/>
    <x v="8"/>
    <x v="0"/>
    <n v="4130"/>
    <d v="2022-04-12T00:00:00"/>
    <n v="12"/>
    <n v="2022"/>
    <s v="Apr"/>
    <x v="1"/>
    <s v="Withdrawal"/>
  </r>
  <r>
    <n v="10113"/>
    <x v="3"/>
    <x v="3"/>
    <x v="1"/>
    <n v="3760"/>
    <d v="2022-07-27T00:00:00"/>
    <n v="27"/>
    <n v="2022"/>
    <s v="Jul"/>
    <x v="3"/>
    <s v="Withdrawal"/>
  </r>
  <r>
    <n v="10114"/>
    <x v="9"/>
    <x v="9"/>
    <x v="0"/>
    <n v="4159"/>
    <d v="2024-11-27T00:00:00"/>
    <n v="27"/>
    <n v="2024"/>
    <s v="Nov"/>
    <x v="0"/>
    <s v="Withdrawal"/>
  </r>
  <r>
    <n v="10115"/>
    <x v="3"/>
    <x v="3"/>
    <x v="2"/>
    <n v="1776"/>
    <d v="2021-09-07T00:00:00"/>
    <n v="7"/>
    <n v="2021"/>
    <s v="Sep"/>
    <x v="3"/>
    <s v="Withdrawal"/>
  </r>
  <r>
    <n v="10116"/>
    <x v="7"/>
    <x v="7"/>
    <x v="2"/>
    <n v="2345"/>
    <d v="2023-08-01T00:00:00"/>
    <n v="1"/>
    <n v="2023"/>
    <s v="Aug"/>
    <x v="0"/>
    <s v="Withdrawal"/>
  </r>
  <r>
    <n v="10117"/>
    <x v="2"/>
    <x v="2"/>
    <x v="1"/>
    <n v="663"/>
    <d v="2024-04-01T00:00:00"/>
    <n v="1"/>
    <n v="2024"/>
    <s v="Apr"/>
    <x v="2"/>
    <s v="Deposit"/>
  </r>
  <r>
    <n v="10118"/>
    <x v="9"/>
    <x v="9"/>
    <x v="0"/>
    <n v="3039"/>
    <d v="2024-02-06T00:00:00"/>
    <n v="6"/>
    <n v="2024"/>
    <s v="Feb"/>
    <x v="0"/>
    <s v="Withdrawal"/>
  </r>
  <r>
    <n v="10119"/>
    <x v="0"/>
    <x v="0"/>
    <x v="0"/>
    <n v="2016"/>
    <d v="2019-06-04T00:00:00"/>
    <n v="4"/>
    <n v="2019"/>
    <s v="Jun"/>
    <x v="0"/>
    <s v="Deposit"/>
  </r>
  <r>
    <n v="10120"/>
    <x v="7"/>
    <x v="7"/>
    <x v="0"/>
    <n v="3677"/>
    <d v="2021-11-09T00:00:00"/>
    <n v="9"/>
    <n v="2021"/>
    <s v="Nov"/>
    <x v="0"/>
    <s v="Withdrawal"/>
  </r>
  <r>
    <n v="10122"/>
    <x v="0"/>
    <x v="0"/>
    <x v="2"/>
    <n v="361"/>
    <d v="2020-05-16T00:00:00"/>
    <n v="16"/>
    <n v="2020"/>
    <s v="May"/>
    <x v="0"/>
    <s v="Deposit"/>
  </r>
  <r>
    <n v="10123"/>
    <x v="2"/>
    <x v="2"/>
    <x v="1"/>
    <n v="1946"/>
    <d v="2024-03-31T00:00:00"/>
    <n v="31"/>
    <n v="2024"/>
    <s v="Mar"/>
    <x v="2"/>
    <s v="Deposit"/>
  </r>
  <r>
    <n v="10124"/>
    <x v="8"/>
    <x v="8"/>
    <x v="2"/>
    <n v="1160"/>
    <d v="2019-01-22T00:00:00"/>
    <n v="22"/>
    <n v="2019"/>
    <s v="Jan"/>
    <x v="1"/>
    <s v="Withdrawal"/>
  </r>
  <r>
    <n v="10125"/>
    <x v="1"/>
    <x v="1"/>
    <x v="0"/>
    <n v="3777"/>
    <d v="2024-09-23T00:00:00"/>
    <n v="23"/>
    <n v="2024"/>
    <s v="Sep"/>
    <x v="1"/>
    <s v="Withdrawal"/>
  </r>
  <r>
    <n v="10126"/>
    <x v="8"/>
    <x v="8"/>
    <x v="2"/>
    <n v="1658"/>
    <d v="2020-04-24T00:00:00"/>
    <n v="24"/>
    <n v="2020"/>
    <s v="Apr"/>
    <x v="1"/>
    <s v="Withdrawal"/>
  </r>
  <r>
    <n v="10127"/>
    <x v="3"/>
    <x v="3"/>
    <x v="0"/>
    <n v="3315"/>
    <d v="2019-11-04T00:00:00"/>
    <n v="4"/>
    <n v="2019"/>
    <s v="Nov"/>
    <x v="3"/>
    <s v="Withdrawal"/>
  </r>
  <r>
    <n v="10128"/>
    <x v="4"/>
    <x v="4"/>
    <x v="0"/>
    <n v="4322"/>
    <d v="2022-11-22T00:00:00"/>
    <n v="22"/>
    <n v="2022"/>
    <s v="Nov"/>
    <x v="3"/>
    <s v="Withdrawal"/>
  </r>
  <r>
    <n v="10129"/>
    <x v="1"/>
    <x v="1"/>
    <x v="1"/>
    <n v="731"/>
    <d v="2019-06-24T00:00:00"/>
    <n v="24"/>
    <n v="2019"/>
    <s v="Jun"/>
    <x v="1"/>
    <s v="Withdrawal"/>
  </r>
  <r>
    <n v="10130"/>
    <x v="9"/>
    <x v="9"/>
    <x v="0"/>
    <n v="3091"/>
    <d v="2019-01-03T00:00:00"/>
    <n v="3"/>
    <n v="2019"/>
    <s v="Jan"/>
    <x v="0"/>
    <s v="Withdrawal"/>
  </r>
  <r>
    <n v="10131"/>
    <x v="3"/>
    <x v="3"/>
    <x v="1"/>
    <n v="1553"/>
    <d v="2021-08-26T00:00:00"/>
    <n v="26"/>
    <n v="2021"/>
    <s v="Aug"/>
    <x v="3"/>
    <s v="Withdrawal"/>
  </r>
  <r>
    <n v="10132"/>
    <x v="2"/>
    <x v="2"/>
    <x v="0"/>
    <n v="3474"/>
    <d v="2019-04-06T00:00:00"/>
    <n v="6"/>
    <n v="2019"/>
    <s v="Apr"/>
    <x v="2"/>
    <s v="Deposit"/>
  </r>
  <r>
    <n v="10133"/>
    <x v="5"/>
    <x v="5"/>
    <x v="1"/>
    <n v="2424"/>
    <d v="2021-10-25T00:00:00"/>
    <n v="25"/>
    <n v="2021"/>
    <s v="Oct"/>
    <x v="0"/>
    <s v="Withdrawal"/>
  </r>
  <r>
    <n v="10134"/>
    <x v="8"/>
    <x v="8"/>
    <x v="2"/>
    <n v="444"/>
    <d v="2019-06-06T00:00:00"/>
    <n v="6"/>
    <n v="2019"/>
    <s v="Jun"/>
    <x v="1"/>
    <s v="Withdrawal"/>
  </r>
  <r>
    <n v="10135"/>
    <x v="5"/>
    <x v="5"/>
    <x v="2"/>
    <n v="3043"/>
    <d v="2023-03-10T00:00:00"/>
    <n v="10"/>
    <n v="2023"/>
    <s v="Mar"/>
    <x v="0"/>
    <s v="Withdrawal"/>
  </r>
  <r>
    <n v="10136"/>
    <x v="7"/>
    <x v="7"/>
    <x v="0"/>
    <n v="2061"/>
    <d v="2023-06-27T00:00:00"/>
    <n v="27"/>
    <n v="2023"/>
    <s v="Jun"/>
    <x v="0"/>
    <s v="Withdrawal"/>
  </r>
  <r>
    <n v="10137"/>
    <x v="9"/>
    <x v="9"/>
    <x v="0"/>
    <n v="2741"/>
    <d v="2022-03-31T00:00:00"/>
    <n v="31"/>
    <n v="2022"/>
    <s v="Mar"/>
    <x v="0"/>
    <s v="Withdrawal"/>
  </r>
  <r>
    <n v="10138"/>
    <x v="8"/>
    <x v="8"/>
    <x v="0"/>
    <n v="215"/>
    <d v="2023-10-24T00:00:00"/>
    <n v="24"/>
    <n v="2023"/>
    <s v="Oct"/>
    <x v="1"/>
    <s v="Withdrawal"/>
  </r>
  <r>
    <n v="10139"/>
    <x v="9"/>
    <x v="9"/>
    <x v="1"/>
    <n v="3043"/>
    <d v="2022-06-30T00:00:00"/>
    <n v="30"/>
    <n v="2022"/>
    <s v="Jun"/>
    <x v="0"/>
    <s v="Withdrawal"/>
  </r>
  <r>
    <n v="10140"/>
    <x v="6"/>
    <x v="6"/>
    <x v="1"/>
    <n v="2971"/>
    <d v="2023-10-28T00:00:00"/>
    <n v="28"/>
    <n v="2023"/>
    <s v="Oct"/>
    <x v="0"/>
    <s v="Deposit"/>
  </r>
  <r>
    <n v="10141"/>
    <x v="0"/>
    <x v="0"/>
    <x v="1"/>
    <n v="1493"/>
    <d v="2024-07-24T00:00:00"/>
    <n v="24"/>
    <n v="2024"/>
    <s v="Jul"/>
    <x v="0"/>
    <s v="Deposit"/>
  </r>
  <r>
    <n v="10142"/>
    <x v="4"/>
    <x v="4"/>
    <x v="1"/>
    <n v="783"/>
    <d v="2021-08-12T00:00:00"/>
    <n v="12"/>
    <n v="2021"/>
    <s v="Aug"/>
    <x v="3"/>
    <s v="Withdrawal"/>
  </r>
  <r>
    <n v="10143"/>
    <x v="3"/>
    <x v="3"/>
    <x v="0"/>
    <n v="481"/>
    <d v="2024-01-30T00:00:00"/>
    <n v="30"/>
    <n v="2024"/>
    <s v="Jan"/>
    <x v="3"/>
    <s v="Withdrawal"/>
  </r>
  <r>
    <n v="10144"/>
    <x v="8"/>
    <x v="8"/>
    <x v="1"/>
    <n v="3398"/>
    <d v="2020-10-10T00:00:00"/>
    <n v="10"/>
    <n v="2020"/>
    <s v="Oct"/>
    <x v="1"/>
    <s v="Withdrawal"/>
  </r>
  <r>
    <n v="10145"/>
    <x v="4"/>
    <x v="4"/>
    <x v="2"/>
    <n v="2191"/>
    <d v="2023-04-02T00:00:00"/>
    <n v="2"/>
    <n v="2023"/>
    <s v="Apr"/>
    <x v="3"/>
    <s v="Withdrawal"/>
  </r>
  <r>
    <n v="10146"/>
    <x v="4"/>
    <x v="4"/>
    <x v="1"/>
    <n v="1094"/>
    <d v="2022-01-14T00:00:00"/>
    <n v="14"/>
    <n v="2022"/>
    <s v="Jan"/>
    <x v="3"/>
    <s v="Withdrawal"/>
  </r>
  <r>
    <n v="10147"/>
    <x v="9"/>
    <x v="9"/>
    <x v="2"/>
    <n v="2846"/>
    <d v="2023-11-10T00:00:00"/>
    <n v="10"/>
    <n v="2023"/>
    <s v="Nov"/>
    <x v="0"/>
    <s v="Withdrawal"/>
  </r>
  <r>
    <n v="10148"/>
    <x v="2"/>
    <x v="2"/>
    <x v="0"/>
    <n v="2086"/>
    <d v="2020-01-26T00:00:00"/>
    <n v="26"/>
    <n v="2020"/>
    <s v="Jan"/>
    <x v="2"/>
    <s v="Deposit"/>
  </r>
  <r>
    <n v="10150"/>
    <x v="7"/>
    <x v="7"/>
    <x v="2"/>
    <n v="3506"/>
    <d v="2022-07-04T00:00:00"/>
    <n v="4"/>
    <n v="2022"/>
    <s v="Jul"/>
    <x v="0"/>
    <s v="Withdrawal"/>
  </r>
  <r>
    <n v="10151"/>
    <x v="6"/>
    <x v="6"/>
    <x v="1"/>
    <n v="3343"/>
    <d v="2025-01-07T00:00:00"/>
    <n v="7"/>
    <n v="2025"/>
    <s v="Jan"/>
    <x v="0"/>
    <s v="Deposit"/>
  </r>
  <r>
    <n v="10152"/>
    <x v="1"/>
    <x v="1"/>
    <x v="1"/>
    <n v="969"/>
    <d v="2020-09-10T00:00:00"/>
    <n v="10"/>
    <n v="2020"/>
    <s v="Sep"/>
    <x v="1"/>
    <s v="Withdrawal"/>
  </r>
  <r>
    <n v="10153"/>
    <x v="5"/>
    <x v="5"/>
    <x v="1"/>
    <n v="1951"/>
    <d v="2022-09-06T00:00:00"/>
    <n v="6"/>
    <n v="2022"/>
    <s v="Sep"/>
    <x v="0"/>
    <s v="Withdrawal"/>
  </r>
  <r>
    <n v="10154"/>
    <x v="1"/>
    <x v="1"/>
    <x v="2"/>
    <n v="4554"/>
    <d v="2020-11-14T00:00:00"/>
    <n v="14"/>
    <n v="2020"/>
    <s v="Nov"/>
    <x v="1"/>
    <s v="Withdrawal"/>
  </r>
  <r>
    <n v="10155"/>
    <x v="4"/>
    <x v="4"/>
    <x v="2"/>
    <n v="1035"/>
    <d v="2022-12-28T00:00:00"/>
    <n v="28"/>
    <n v="2022"/>
    <s v="Dec"/>
    <x v="3"/>
    <s v="Withdrawal"/>
  </r>
  <r>
    <n v="10156"/>
    <x v="7"/>
    <x v="7"/>
    <x v="2"/>
    <n v="3591"/>
    <d v="2021-11-09T00:00:00"/>
    <n v="9"/>
    <n v="2021"/>
    <s v="Nov"/>
    <x v="0"/>
    <s v="Withdrawal"/>
  </r>
  <r>
    <n v="10157"/>
    <x v="8"/>
    <x v="8"/>
    <x v="2"/>
    <n v="2332"/>
    <d v="2023-09-12T00:00:00"/>
    <n v="12"/>
    <n v="2023"/>
    <s v="Sep"/>
    <x v="1"/>
    <s v="Withdrawal"/>
  </r>
  <r>
    <n v="10158"/>
    <x v="4"/>
    <x v="4"/>
    <x v="1"/>
    <n v="3534"/>
    <d v="2022-05-05T00:00:00"/>
    <n v="5"/>
    <n v="2022"/>
    <s v="May"/>
    <x v="3"/>
    <s v="Withdrawal"/>
  </r>
  <r>
    <n v="10159"/>
    <x v="5"/>
    <x v="5"/>
    <x v="2"/>
    <n v="1424"/>
    <d v="2021-12-06T00:00:00"/>
    <n v="6"/>
    <n v="2021"/>
    <s v="Dec"/>
    <x v="0"/>
    <s v="Withdrawal"/>
  </r>
  <r>
    <n v="10160"/>
    <x v="8"/>
    <x v="8"/>
    <x v="1"/>
    <n v="3417"/>
    <d v="2019-07-26T00:00:00"/>
    <n v="26"/>
    <n v="2019"/>
    <s v="Jul"/>
    <x v="1"/>
    <s v="Withdrawal"/>
  </r>
  <r>
    <n v="10161"/>
    <x v="7"/>
    <x v="7"/>
    <x v="0"/>
    <n v="938"/>
    <d v="2024-11-21T00:00:00"/>
    <n v="21"/>
    <n v="2024"/>
    <s v="Nov"/>
    <x v="0"/>
    <s v="Withdrawal"/>
  </r>
  <r>
    <n v="10162"/>
    <x v="6"/>
    <x v="6"/>
    <x v="0"/>
    <n v="4977"/>
    <d v="2024-08-06T00:00:00"/>
    <n v="6"/>
    <n v="2024"/>
    <s v="Aug"/>
    <x v="0"/>
    <s v="Deposit"/>
  </r>
  <r>
    <n v="10163"/>
    <x v="1"/>
    <x v="1"/>
    <x v="2"/>
    <n v="1285"/>
    <d v="2019-11-26T00:00:00"/>
    <n v="26"/>
    <n v="2019"/>
    <s v="Nov"/>
    <x v="1"/>
    <s v="Withdrawal"/>
  </r>
  <r>
    <n v="10164"/>
    <x v="1"/>
    <x v="1"/>
    <x v="0"/>
    <n v="4806"/>
    <d v="2020-01-30T00:00:00"/>
    <n v="30"/>
    <n v="2020"/>
    <s v="Jan"/>
    <x v="1"/>
    <s v="Withdrawal"/>
  </r>
  <r>
    <n v="10165"/>
    <x v="7"/>
    <x v="7"/>
    <x v="1"/>
    <n v="3848"/>
    <d v="2023-11-26T00:00:00"/>
    <n v="26"/>
    <n v="2023"/>
    <s v="Nov"/>
    <x v="0"/>
    <s v="Withdrawal"/>
  </r>
  <r>
    <n v="10166"/>
    <x v="2"/>
    <x v="2"/>
    <x v="1"/>
    <n v="2112"/>
    <d v="2020-12-24T00:00:00"/>
    <n v="24"/>
    <n v="2020"/>
    <s v="Dec"/>
    <x v="2"/>
    <s v="Deposit"/>
  </r>
  <r>
    <n v="10167"/>
    <x v="8"/>
    <x v="8"/>
    <x v="0"/>
    <n v="2730"/>
    <d v="2021-07-05T00:00:00"/>
    <n v="5"/>
    <n v="2021"/>
    <s v="Jul"/>
    <x v="1"/>
    <s v="Withdrawal"/>
  </r>
  <r>
    <n v="10168"/>
    <x v="4"/>
    <x v="4"/>
    <x v="2"/>
    <n v="670"/>
    <d v="2021-05-13T00:00:00"/>
    <n v="13"/>
    <n v="2021"/>
    <s v="May"/>
    <x v="3"/>
    <s v="Withdrawal"/>
  </r>
  <r>
    <n v="10169"/>
    <x v="2"/>
    <x v="2"/>
    <x v="1"/>
    <n v="3681"/>
    <d v="2023-03-01T00:00:00"/>
    <n v="1"/>
    <n v="2023"/>
    <s v="Mar"/>
    <x v="2"/>
    <s v="Deposit"/>
  </r>
  <r>
    <n v="10170"/>
    <x v="0"/>
    <x v="0"/>
    <x v="0"/>
    <n v="2979"/>
    <d v="2021-04-20T00:00:00"/>
    <n v="20"/>
    <n v="2021"/>
    <s v="Apr"/>
    <x v="0"/>
    <s v="Deposit"/>
  </r>
  <r>
    <n v="10171"/>
    <x v="8"/>
    <x v="8"/>
    <x v="1"/>
    <n v="891"/>
    <d v="2024-08-07T00:00:00"/>
    <n v="7"/>
    <n v="2024"/>
    <s v="Aug"/>
    <x v="1"/>
    <s v="Withdrawal"/>
  </r>
  <r>
    <n v="10172"/>
    <x v="2"/>
    <x v="2"/>
    <x v="1"/>
    <n v="4097"/>
    <d v="2022-01-19T00:00:00"/>
    <n v="19"/>
    <n v="2022"/>
    <s v="Jan"/>
    <x v="2"/>
    <s v="Deposit"/>
  </r>
  <r>
    <n v="10173"/>
    <x v="7"/>
    <x v="7"/>
    <x v="2"/>
    <n v="3539"/>
    <d v="2023-07-17T00:00:00"/>
    <n v="17"/>
    <n v="2023"/>
    <s v="Jul"/>
    <x v="0"/>
    <s v="Withdrawal"/>
  </r>
  <r>
    <n v="10174"/>
    <x v="4"/>
    <x v="4"/>
    <x v="2"/>
    <n v="3093"/>
    <d v="2023-11-19T00:00:00"/>
    <n v="19"/>
    <n v="2023"/>
    <s v="Nov"/>
    <x v="3"/>
    <s v="Withdrawal"/>
  </r>
  <r>
    <n v="10175"/>
    <x v="2"/>
    <x v="2"/>
    <x v="1"/>
    <n v="3340"/>
    <d v="2023-04-01T00:00:00"/>
    <n v="1"/>
    <n v="2023"/>
    <s v="Apr"/>
    <x v="2"/>
    <s v="Deposit"/>
  </r>
  <r>
    <n v="10176"/>
    <x v="6"/>
    <x v="6"/>
    <x v="0"/>
    <n v="377"/>
    <d v="2023-01-12T00:00:00"/>
    <n v="12"/>
    <n v="2023"/>
    <s v="Jan"/>
    <x v="0"/>
    <s v="Deposit"/>
  </r>
  <r>
    <n v="10177"/>
    <x v="1"/>
    <x v="1"/>
    <x v="2"/>
    <n v="3302"/>
    <d v="2023-03-29T00:00:00"/>
    <n v="29"/>
    <n v="2023"/>
    <s v="Mar"/>
    <x v="1"/>
    <s v="Withdrawal"/>
  </r>
  <r>
    <n v="10178"/>
    <x v="3"/>
    <x v="3"/>
    <x v="2"/>
    <n v="1453"/>
    <d v="2019-04-29T00:00:00"/>
    <n v="29"/>
    <n v="2019"/>
    <s v="Apr"/>
    <x v="3"/>
    <s v="Withdrawal"/>
  </r>
  <r>
    <n v="10179"/>
    <x v="8"/>
    <x v="8"/>
    <x v="0"/>
    <n v="2565"/>
    <d v="2022-08-02T00:00:00"/>
    <n v="2"/>
    <n v="2022"/>
    <s v="Aug"/>
    <x v="1"/>
    <s v="Withdrawal"/>
  </r>
  <r>
    <n v="10180"/>
    <x v="0"/>
    <x v="0"/>
    <x v="1"/>
    <n v="487"/>
    <d v="2019-12-17T00:00:00"/>
    <n v="17"/>
    <n v="2019"/>
    <s v="Dec"/>
    <x v="0"/>
    <s v="Deposit"/>
  </r>
  <r>
    <n v="10182"/>
    <x v="6"/>
    <x v="6"/>
    <x v="2"/>
    <n v="386"/>
    <d v="2023-09-05T00:00:00"/>
    <n v="5"/>
    <n v="2023"/>
    <s v="Sep"/>
    <x v="0"/>
    <s v="Deposit"/>
  </r>
  <r>
    <n v="10183"/>
    <x v="2"/>
    <x v="2"/>
    <x v="1"/>
    <n v="1780"/>
    <d v="2024-06-22T00:00:00"/>
    <n v="22"/>
    <n v="2024"/>
    <s v="Jun"/>
    <x v="2"/>
    <s v="Deposit"/>
  </r>
  <r>
    <n v="10184"/>
    <x v="1"/>
    <x v="1"/>
    <x v="2"/>
    <n v="1330"/>
    <d v="2022-04-18T00:00:00"/>
    <n v="18"/>
    <n v="2022"/>
    <s v="Apr"/>
    <x v="1"/>
    <s v="Withdrawal"/>
  </r>
  <r>
    <n v="10185"/>
    <x v="8"/>
    <x v="8"/>
    <x v="2"/>
    <n v="3136"/>
    <d v="2019-11-30T00:00:00"/>
    <n v="30"/>
    <n v="2019"/>
    <s v="Nov"/>
    <x v="1"/>
    <s v="Withdrawal"/>
  </r>
  <r>
    <n v="10187"/>
    <x v="1"/>
    <x v="1"/>
    <x v="0"/>
    <n v="4167"/>
    <d v="2022-11-11T00:00:00"/>
    <n v="11"/>
    <n v="2022"/>
    <s v="Nov"/>
    <x v="1"/>
    <s v="Withdrawal"/>
  </r>
  <r>
    <n v="10188"/>
    <x v="7"/>
    <x v="7"/>
    <x v="0"/>
    <n v="4265"/>
    <d v="2019-05-30T00:00:00"/>
    <n v="30"/>
    <n v="2019"/>
    <s v="May"/>
    <x v="0"/>
    <s v="Withdrawal"/>
  </r>
  <r>
    <n v="10189"/>
    <x v="4"/>
    <x v="4"/>
    <x v="0"/>
    <n v="1176"/>
    <d v="2020-08-15T00:00:00"/>
    <n v="15"/>
    <n v="2020"/>
    <s v="Aug"/>
    <x v="3"/>
    <s v="Withdrawal"/>
  </r>
  <r>
    <n v="10190"/>
    <x v="1"/>
    <x v="1"/>
    <x v="0"/>
    <n v="2945"/>
    <d v="2021-02-19T00:00:00"/>
    <n v="19"/>
    <n v="2021"/>
    <s v="Feb"/>
    <x v="1"/>
    <s v="Withdrawal"/>
  </r>
  <r>
    <n v="10191"/>
    <x v="0"/>
    <x v="0"/>
    <x v="2"/>
    <n v="4646"/>
    <d v="2024-06-09T00:00:00"/>
    <n v="9"/>
    <n v="2024"/>
    <s v="Jun"/>
    <x v="0"/>
    <s v="Deposit"/>
  </r>
  <r>
    <n v="10192"/>
    <x v="2"/>
    <x v="2"/>
    <x v="1"/>
    <n v="3895"/>
    <d v="2019-03-03T00:00:00"/>
    <n v="3"/>
    <n v="2019"/>
    <s v="Mar"/>
    <x v="2"/>
    <s v="Deposit"/>
  </r>
  <r>
    <n v="10193"/>
    <x v="8"/>
    <x v="8"/>
    <x v="2"/>
    <n v="3856"/>
    <d v="2021-02-22T00:00:00"/>
    <n v="22"/>
    <n v="2021"/>
    <s v="Feb"/>
    <x v="1"/>
    <s v="Withdrawal"/>
  </r>
  <r>
    <n v="10194"/>
    <x v="0"/>
    <x v="0"/>
    <x v="0"/>
    <n v="4622"/>
    <d v="2020-05-20T00:00:00"/>
    <n v="20"/>
    <n v="2020"/>
    <s v="May"/>
    <x v="0"/>
    <s v="Deposit"/>
  </r>
  <r>
    <n v="10195"/>
    <x v="7"/>
    <x v="7"/>
    <x v="0"/>
    <n v="1132"/>
    <d v="2020-07-22T00:00:00"/>
    <n v="22"/>
    <n v="2020"/>
    <s v="Jul"/>
    <x v="0"/>
    <s v="Withdrawal"/>
  </r>
  <r>
    <n v="10196"/>
    <x v="0"/>
    <x v="0"/>
    <x v="0"/>
    <n v="922"/>
    <d v="2019-09-04T00:00:00"/>
    <n v="4"/>
    <n v="2019"/>
    <s v="Sep"/>
    <x v="0"/>
    <s v="Deposit"/>
  </r>
  <r>
    <n v="10197"/>
    <x v="4"/>
    <x v="4"/>
    <x v="0"/>
    <n v="2754"/>
    <d v="2021-09-12T00:00:00"/>
    <n v="12"/>
    <n v="2021"/>
    <s v="Sep"/>
    <x v="3"/>
    <s v="Withdrawal"/>
  </r>
  <r>
    <n v="10198"/>
    <x v="3"/>
    <x v="3"/>
    <x v="2"/>
    <n v="3354"/>
    <d v="2024-04-05T00:00:00"/>
    <n v="5"/>
    <n v="2024"/>
    <s v="Apr"/>
    <x v="3"/>
    <s v="Withdrawal"/>
  </r>
  <r>
    <n v="10199"/>
    <x v="8"/>
    <x v="8"/>
    <x v="2"/>
    <n v="1128"/>
    <d v="2022-11-05T00:00:00"/>
    <n v="5"/>
    <n v="2022"/>
    <s v="Nov"/>
    <x v="1"/>
    <s v="Withdrawal"/>
  </r>
  <r>
    <n v="10200"/>
    <x v="3"/>
    <x v="3"/>
    <x v="0"/>
    <n v="361"/>
    <d v="2020-11-18T00:00:00"/>
    <n v="18"/>
    <n v="2020"/>
    <s v="Nov"/>
    <x v="3"/>
    <s v="Withdrawal"/>
  </r>
  <r>
    <n v="10201"/>
    <x v="3"/>
    <x v="3"/>
    <x v="2"/>
    <n v="3765"/>
    <d v="2023-01-10T00:00:00"/>
    <n v="10"/>
    <n v="2023"/>
    <s v="Jan"/>
    <x v="3"/>
    <s v="Withdrawal"/>
  </r>
  <r>
    <n v="10202"/>
    <x v="3"/>
    <x v="3"/>
    <x v="1"/>
    <n v="1033"/>
    <d v="2019-04-11T00:00:00"/>
    <n v="11"/>
    <n v="2019"/>
    <s v="Apr"/>
    <x v="3"/>
    <s v="Withdrawal"/>
  </r>
  <r>
    <n v="10203"/>
    <x v="7"/>
    <x v="7"/>
    <x v="2"/>
    <n v="3063"/>
    <d v="2022-06-23T00:00:00"/>
    <n v="23"/>
    <n v="2022"/>
    <s v="Jun"/>
    <x v="0"/>
    <s v="Withdrawal"/>
  </r>
  <r>
    <n v="10204"/>
    <x v="3"/>
    <x v="3"/>
    <x v="2"/>
    <n v="811"/>
    <d v="2020-02-24T00:00:00"/>
    <n v="24"/>
    <n v="2020"/>
    <s v="Feb"/>
    <x v="3"/>
    <s v="Withdrawal"/>
  </r>
  <r>
    <n v="10205"/>
    <x v="7"/>
    <x v="7"/>
    <x v="2"/>
    <n v="3253"/>
    <d v="2021-12-25T00:00:00"/>
    <n v="25"/>
    <n v="2021"/>
    <s v="Dec"/>
    <x v="0"/>
    <s v="Withdrawal"/>
  </r>
  <r>
    <n v="10206"/>
    <x v="9"/>
    <x v="9"/>
    <x v="1"/>
    <n v="696"/>
    <d v="2022-10-17T00:00:00"/>
    <n v="17"/>
    <n v="2022"/>
    <s v="Oct"/>
    <x v="0"/>
    <s v="Withdrawal"/>
  </r>
  <r>
    <n v="10207"/>
    <x v="6"/>
    <x v="6"/>
    <x v="1"/>
    <n v="4614"/>
    <d v="2019-01-07T00:00:00"/>
    <n v="7"/>
    <n v="2019"/>
    <s v="Jan"/>
    <x v="0"/>
    <s v="Deposit"/>
  </r>
  <r>
    <n v="10208"/>
    <x v="5"/>
    <x v="5"/>
    <x v="0"/>
    <n v="2362"/>
    <d v="2019-08-17T00:00:00"/>
    <n v="17"/>
    <n v="2019"/>
    <s v="Aug"/>
    <x v="0"/>
    <s v="Withdrawal"/>
  </r>
  <r>
    <n v="10209"/>
    <x v="6"/>
    <x v="6"/>
    <x v="0"/>
    <n v="1146"/>
    <d v="2022-11-19T00:00:00"/>
    <n v="19"/>
    <n v="2022"/>
    <s v="Nov"/>
    <x v="0"/>
    <s v="Deposit"/>
  </r>
  <r>
    <n v="10210"/>
    <x v="3"/>
    <x v="3"/>
    <x v="2"/>
    <n v="4286"/>
    <d v="2019-10-22T00:00:00"/>
    <n v="22"/>
    <n v="2019"/>
    <s v="Oct"/>
    <x v="3"/>
    <s v="Withdrawal"/>
  </r>
  <r>
    <n v="10211"/>
    <x v="6"/>
    <x v="6"/>
    <x v="1"/>
    <n v="2759"/>
    <d v="2022-07-03T00:00:00"/>
    <n v="3"/>
    <n v="2022"/>
    <s v="Jul"/>
    <x v="0"/>
    <s v="Deposit"/>
  </r>
  <r>
    <n v="10212"/>
    <x v="6"/>
    <x v="6"/>
    <x v="1"/>
    <n v="1560"/>
    <d v="2023-06-01T00:00:00"/>
    <n v="1"/>
    <n v="2023"/>
    <s v="Jun"/>
    <x v="0"/>
    <s v="Deposit"/>
  </r>
  <r>
    <n v="10213"/>
    <x v="8"/>
    <x v="8"/>
    <x v="0"/>
    <n v="4152"/>
    <d v="2020-01-07T00:00:00"/>
    <n v="7"/>
    <n v="2020"/>
    <s v="Jan"/>
    <x v="1"/>
    <s v="Withdrawal"/>
  </r>
  <r>
    <n v="10214"/>
    <x v="0"/>
    <x v="0"/>
    <x v="2"/>
    <n v="2809"/>
    <d v="2024-09-23T00:00:00"/>
    <n v="23"/>
    <n v="2024"/>
    <s v="Sep"/>
    <x v="0"/>
    <s v="Deposit"/>
  </r>
  <r>
    <n v="10215"/>
    <x v="6"/>
    <x v="6"/>
    <x v="0"/>
    <n v="3900"/>
    <d v="2023-03-17T00:00:00"/>
    <n v="17"/>
    <n v="2023"/>
    <s v="Mar"/>
    <x v="0"/>
    <s v="Deposit"/>
  </r>
  <r>
    <n v="10216"/>
    <x v="8"/>
    <x v="8"/>
    <x v="1"/>
    <n v="2600"/>
    <d v="2024-05-14T00:00:00"/>
    <n v="14"/>
    <n v="2024"/>
    <s v="May"/>
    <x v="1"/>
    <s v="Withdrawal"/>
  </r>
  <r>
    <n v="10217"/>
    <x v="0"/>
    <x v="0"/>
    <x v="1"/>
    <n v="305"/>
    <d v="2022-07-15T00:00:00"/>
    <n v="15"/>
    <n v="2022"/>
    <s v="Jul"/>
    <x v="0"/>
    <s v="Deposit"/>
  </r>
  <r>
    <n v="10218"/>
    <x v="9"/>
    <x v="9"/>
    <x v="0"/>
    <n v="2616"/>
    <d v="2020-01-17T00:00:00"/>
    <n v="17"/>
    <n v="2020"/>
    <s v="Jan"/>
    <x v="0"/>
    <s v="Withdrawal"/>
  </r>
  <r>
    <n v="10219"/>
    <x v="7"/>
    <x v="7"/>
    <x v="1"/>
    <n v="4437"/>
    <d v="2024-01-11T00:00:00"/>
    <n v="11"/>
    <n v="2024"/>
    <s v="Jan"/>
    <x v="0"/>
    <s v="Withdrawal"/>
  </r>
  <r>
    <n v="10220"/>
    <x v="8"/>
    <x v="8"/>
    <x v="2"/>
    <n v="549"/>
    <d v="2023-01-29T00:00:00"/>
    <n v="29"/>
    <n v="2023"/>
    <s v="Jan"/>
    <x v="1"/>
    <s v="Withdrawal"/>
  </r>
  <r>
    <n v="10221"/>
    <x v="9"/>
    <x v="9"/>
    <x v="2"/>
    <n v="1526"/>
    <d v="2020-12-28T00:00:00"/>
    <n v="28"/>
    <n v="2020"/>
    <s v="Dec"/>
    <x v="0"/>
    <s v="Withdrawal"/>
  </r>
  <r>
    <n v="10222"/>
    <x v="4"/>
    <x v="4"/>
    <x v="1"/>
    <n v="3613"/>
    <d v="2023-11-20T00:00:00"/>
    <n v="20"/>
    <n v="2023"/>
    <s v="Nov"/>
    <x v="3"/>
    <s v="Withdrawal"/>
  </r>
  <r>
    <n v="10224"/>
    <x v="1"/>
    <x v="1"/>
    <x v="2"/>
    <n v="1510"/>
    <d v="2021-02-17T00:00:00"/>
    <n v="17"/>
    <n v="2021"/>
    <s v="Feb"/>
    <x v="1"/>
    <s v="Withdrawal"/>
  </r>
  <r>
    <n v="10225"/>
    <x v="1"/>
    <x v="1"/>
    <x v="0"/>
    <n v="3879"/>
    <d v="2024-07-14T00:00:00"/>
    <n v="14"/>
    <n v="2024"/>
    <s v="Jul"/>
    <x v="1"/>
    <s v="Withdrawal"/>
  </r>
  <r>
    <n v="10226"/>
    <x v="7"/>
    <x v="7"/>
    <x v="1"/>
    <n v="3115"/>
    <d v="2023-03-26T00:00:00"/>
    <n v="26"/>
    <n v="2023"/>
    <s v="Mar"/>
    <x v="0"/>
    <s v="Withdrawal"/>
  </r>
  <r>
    <n v="10227"/>
    <x v="8"/>
    <x v="8"/>
    <x v="1"/>
    <n v="2505"/>
    <d v="2025-01-07T00:00:00"/>
    <n v="7"/>
    <n v="2025"/>
    <s v="Jan"/>
    <x v="1"/>
    <s v="Withdrawal"/>
  </r>
  <r>
    <n v="10228"/>
    <x v="8"/>
    <x v="8"/>
    <x v="1"/>
    <n v="2502"/>
    <d v="2022-07-25T00:00:00"/>
    <n v="25"/>
    <n v="2022"/>
    <s v="Jul"/>
    <x v="1"/>
    <s v="Withdrawal"/>
  </r>
  <r>
    <n v="10229"/>
    <x v="3"/>
    <x v="3"/>
    <x v="2"/>
    <n v="4344"/>
    <d v="2023-05-30T00:00:00"/>
    <n v="30"/>
    <n v="2023"/>
    <s v="May"/>
    <x v="3"/>
    <s v="Withdrawal"/>
  </r>
  <r>
    <n v="10230"/>
    <x v="8"/>
    <x v="8"/>
    <x v="0"/>
    <n v="3895"/>
    <d v="2023-08-28T00:00:00"/>
    <n v="28"/>
    <n v="2023"/>
    <s v="Aug"/>
    <x v="1"/>
    <s v="Withdrawal"/>
  </r>
  <r>
    <n v="10231"/>
    <x v="8"/>
    <x v="8"/>
    <x v="1"/>
    <n v="2525"/>
    <d v="2019-06-07T00:00:00"/>
    <n v="7"/>
    <n v="2019"/>
    <s v="Jun"/>
    <x v="1"/>
    <s v="Withdrawal"/>
  </r>
  <r>
    <n v="10232"/>
    <x v="5"/>
    <x v="5"/>
    <x v="1"/>
    <n v="1877"/>
    <d v="2024-12-02T00:00:00"/>
    <n v="2"/>
    <n v="2024"/>
    <s v="Dec"/>
    <x v="0"/>
    <s v="Withdrawal"/>
  </r>
  <r>
    <n v="10233"/>
    <x v="3"/>
    <x v="3"/>
    <x v="0"/>
    <n v="1427"/>
    <d v="2024-10-07T00:00:00"/>
    <n v="7"/>
    <n v="2024"/>
    <s v="Oct"/>
    <x v="3"/>
    <s v="Withdrawal"/>
  </r>
  <r>
    <n v="10234"/>
    <x v="5"/>
    <x v="5"/>
    <x v="2"/>
    <n v="2613"/>
    <d v="2021-01-08T00:00:00"/>
    <n v="8"/>
    <n v="2021"/>
    <s v="Jan"/>
    <x v="0"/>
    <s v="Withdrawal"/>
  </r>
  <r>
    <n v="10235"/>
    <x v="5"/>
    <x v="5"/>
    <x v="0"/>
    <n v="2980"/>
    <d v="2022-09-26T00:00:00"/>
    <n v="26"/>
    <n v="2022"/>
    <s v="Sep"/>
    <x v="0"/>
    <s v="Withdrawal"/>
  </r>
  <r>
    <n v="10236"/>
    <x v="4"/>
    <x v="4"/>
    <x v="0"/>
    <n v="175"/>
    <d v="2023-04-21T00:00:00"/>
    <n v="21"/>
    <n v="2023"/>
    <s v="Apr"/>
    <x v="3"/>
    <s v="Withdrawal"/>
  </r>
  <r>
    <n v="10237"/>
    <x v="7"/>
    <x v="7"/>
    <x v="2"/>
    <n v="1276"/>
    <d v="2023-01-19T00:00:00"/>
    <n v="19"/>
    <n v="2023"/>
    <s v="Jan"/>
    <x v="0"/>
    <s v="Withdrawal"/>
  </r>
  <r>
    <n v="10238"/>
    <x v="6"/>
    <x v="6"/>
    <x v="1"/>
    <n v="3340"/>
    <d v="2020-03-14T00:00:00"/>
    <n v="14"/>
    <n v="2020"/>
    <s v="Mar"/>
    <x v="0"/>
    <s v="Deposit"/>
  </r>
  <r>
    <n v="10239"/>
    <x v="6"/>
    <x v="6"/>
    <x v="1"/>
    <n v="3811"/>
    <d v="2022-01-05T00:00:00"/>
    <n v="5"/>
    <n v="2022"/>
    <s v="Jan"/>
    <x v="0"/>
    <s v="Deposit"/>
  </r>
  <r>
    <n v="10240"/>
    <x v="1"/>
    <x v="1"/>
    <x v="0"/>
    <n v="2182"/>
    <d v="2020-02-20T00:00:00"/>
    <n v="20"/>
    <n v="2020"/>
    <s v="Feb"/>
    <x v="1"/>
    <s v="Withdrawal"/>
  </r>
  <r>
    <n v="10242"/>
    <x v="6"/>
    <x v="6"/>
    <x v="1"/>
    <n v="3702"/>
    <d v="2023-04-21T00:00:00"/>
    <n v="21"/>
    <n v="2023"/>
    <s v="Apr"/>
    <x v="0"/>
    <s v="Deposit"/>
  </r>
  <r>
    <n v="10243"/>
    <x v="2"/>
    <x v="2"/>
    <x v="1"/>
    <n v="4419"/>
    <d v="2019-01-05T00:00:00"/>
    <n v="5"/>
    <n v="2019"/>
    <s v="Jan"/>
    <x v="2"/>
    <s v="Deposit"/>
  </r>
  <r>
    <n v="10244"/>
    <x v="5"/>
    <x v="5"/>
    <x v="2"/>
    <n v="2951"/>
    <d v="2021-08-13T00:00:00"/>
    <n v="13"/>
    <n v="2021"/>
    <s v="Aug"/>
    <x v="0"/>
    <s v="Withdrawal"/>
  </r>
  <r>
    <n v="10245"/>
    <x v="2"/>
    <x v="2"/>
    <x v="1"/>
    <n v="4807"/>
    <d v="2021-05-07T00:00:00"/>
    <n v="7"/>
    <n v="2021"/>
    <s v="May"/>
    <x v="2"/>
    <s v="Deposit"/>
  </r>
  <r>
    <n v="10246"/>
    <x v="6"/>
    <x v="6"/>
    <x v="0"/>
    <n v="2107"/>
    <d v="2020-04-15T00:00:00"/>
    <n v="15"/>
    <n v="2020"/>
    <s v="Apr"/>
    <x v="0"/>
    <s v="Deposit"/>
  </r>
  <r>
    <n v="10247"/>
    <x v="4"/>
    <x v="4"/>
    <x v="2"/>
    <n v="1467"/>
    <d v="2024-10-03T00:00:00"/>
    <n v="3"/>
    <n v="2024"/>
    <s v="Oct"/>
    <x v="3"/>
    <s v="Withdrawal"/>
  </r>
  <r>
    <n v="10248"/>
    <x v="2"/>
    <x v="2"/>
    <x v="1"/>
    <n v="1382"/>
    <d v="2024-12-09T00:00:00"/>
    <n v="9"/>
    <n v="2024"/>
    <s v="Dec"/>
    <x v="2"/>
    <s v="Deposit"/>
  </r>
  <r>
    <n v="10249"/>
    <x v="8"/>
    <x v="8"/>
    <x v="1"/>
    <n v="1658"/>
    <d v="2021-03-05T00:00:00"/>
    <n v="5"/>
    <n v="2021"/>
    <s v="Mar"/>
    <x v="1"/>
    <s v="Withdrawal"/>
  </r>
  <r>
    <n v="10250"/>
    <x v="9"/>
    <x v="9"/>
    <x v="2"/>
    <n v="1139"/>
    <d v="2021-07-20T00:00:00"/>
    <n v="20"/>
    <n v="2021"/>
    <s v="Jul"/>
    <x v="0"/>
    <s v="Withdraw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23FB67-E99C-417D-9B97-67D46FEA928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G7" firstHeaderRow="1" firstDataRow="1" firstDataCol="1"/>
  <pivotFields count="11">
    <pivotField numFmtId="49" showAll="0"/>
    <pivotField axis="axisRow" showAll="0" measureFilter="1">
      <items count="11">
        <item x="8"/>
        <item x="5"/>
        <item x="7"/>
        <item x="3"/>
        <item x="0"/>
        <item x="9"/>
        <item x="6"/>
        <item x="1"/>
        <item x="4"/>
        <item x="2"/>
        <item t="default"/>
      </items>
    </pivotField>
    <pivotField showAll="0">
      <items count="11">
        <item x="8"/>
        <item x="2"/>
        <item x="0"/>
        <item x="1"/>
        <item x="9"/>
        <item x="7"/>
        <item x="3"/>
        <item x="5"/>
        <item x="4"/>
        <item x="6"/>
        <item t="default"/>
      </items>
    </pivotField>
    <pivotField showAll="0">
      <items count="4">
        <item x="2"/>
        <item x="1"/>
        <item x="0"/>
        <item t="default"/>
      </items>
    </pivotField>
    <pivotField dataField="1" numFmtId="1" showAll="0"/>
    <pivotField numFmtId="14"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2"/>
    </i>
    <i>
      <x v="3"/>
    </i>
    <i>
      <x v="6"/>
    </i>
    <i>
      <x v="9"/>
    </i>
    <i t="grand">
      <x/>
    </i>
  </rowItems>
  <colItems count="1">
    <i/>
  </colItems>
  <dataFields count="1">
    <dataField name="Sum of Amount" fld="4" baseField="1" baseItem="0" numFmtId="1"/>
  </dataField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0C611E-D65B-4446-89FE-296368298B7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5" firstHeaderRow="1" firstDataRow="1" firstDataCol="1"/>
  <pivotFields count="11">
    <pivotField numFmtId="49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dataField="1" numFmtId="1" showAll="0"/>
    <pivotField numFmtId="14"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4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BF9E63-1B30-4E18-84BD-EC2082A5860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L8" firstHeaderRow="1" firstDataRow="1" firstDataCol="1"/>
  <pivotFields count="11">
    <pivotField numFmtId="49" showAll="0"/>
    <pivotField dataField="1" showAll="0">
      <items count="11">
        <item x="8"/>
        <item x="5"/>
        <item x="7"/>
        <item x="3"/>
        <item x="0"/>
        <item x="9"/>
        <item x="6"/>
        <item x="1"/>
        <item x="4"/>
        <item x="2"/>
        <item t="default"/>
      </items>
    </pivotField>
    <pivotField showAll="0">
      <items count="11">
        <item x="8"/>
        <item x="2"/>
        <item x="0"/>
        <item x="1"/>
        <item x="9"/>
        <item x="7"/>
        <item x="3"/>
        <item x="5"/>
        <item x="4"/>
        <item x="6"/>
        <item t="default"/>
      </items>
    </pivotField>
    <pivotField showAll="0">
      <items count="4">
        <item x="2"/>
        <item x="1"/>
        <item x="0"/>
        <item t="default"/>
      </items>
    </pivotField>
    <pivotField numFmtId="1" showAll="0"/>
    <pivotField numFmtId="14"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4016-4606-4C4E-BA1B-2FEA37599CED}">
  <dimension ref="B2:D24"/>
  <sheetViews>
    <sheetView showGridLines="0" workbookViewId="0">
      <selection activeCell="G15" sqref="G15"/>
    </sheetView>
  </sheetViews>
  <sheetFormatPr defaultRowHeight="14.4"/>
  <cols>
    <col min="2" max="2" width="63.88671875" customWidth="1"/>
    <col min="3" max="3" width="84.21875" customWidth="1"/>
    <col min="4" max="4" width="11" bestFit="1" customWidth="1"/>
  </cols>
  <sheetData>
    <row r="2" spans="2:4" ht="21">
      <c r="B2" s="30" t="s">
        <v>57</v>
      </c>
    </row>
    <row r="4" spans="2:4" ht="15.6">
      <c r="B4" s="31" t="s">
        <v>58</v>
      </c>
    </row>
    <row r="13" spans="2:4" ht="15.6">
      <c r="B13" s="31" t="s">
        <v>59</v>
      </c>
    </row>
    <row r="14" spans="2:4">
      <c r="B14" s="1" t="s">
        <v>60</v>
      </c>
      <c r="C14" s="1" t="s">
        <v>61</v>
      </c>
      <c r="D14" s="1" t="s">
        <v>62</v>
      </c>
    </row>
    <row r="15" spans="2:4">
      <c r="B15" t="s">
        <v>63</v>
      </c>
      <c r="C15" s="32" t="s">
        <v>64</v>
      </c>
      <c r="D15">
        <f>COUNTIF(Bank_Transactions!E:E, "&gt;3000")</f>
        <v>98</v>
      </c>
    </row>
    <row r="16" spans="2:4">
      <c r="B16" t="s">
        <v>65</v>
      </c>
      <c r="C16" t="s">
        <v>66</v>
      </c>
      <c r="D16" s="33">
        <f>SUMIF(Bank_Transactions!D:D,Bank_Transactions!D3,Bank_Transactions!E:E)</f>
        <v>215314</v>
      </c>
    </row>
    <row r="17" spans="2:4">
      <c r="B17" t="s">
        <v>67</v>
      </c>
      <c r="C17" t="s">
        <v>68</v>
      </c>
      <c r="D17" s="33">
        <f>SUMIFS(Bank_Transactions!E:E,Bank_Transactions!D:D,Bank_Transactions!D2,Bank_Transactions!H:H,Bank_Transactions!H4)</f>
        <v>37544</v>
      </c>
    </row>
    <row r="19" spans="2:4">
      <c r="B19" s="1" t="s">
        <v>69</v>
      </c>
    </row>
    <row r="20" spans="2:4">
      <c r="B20" t="s">
        <v>70</v>
      </c>
      <c r="C20" s="4">
        <f>SUM(Bank_Transactions!E:E)</f>
        <v>599303</v>
      </c>
    </row>
    <row r="21" spans="2:4">
      <c r="B21" t="s">
        <v>71</v>
      </c>
      <c r="C21" s="4">
        <f>AVERAGE(Bank_Transactions!E:E)</f>
        <v>2507.5439330543932</v>
      </c>
    </row>
    <row r="22" spans="2:4">
      <c r="B22" t="s">
        <v>72</v>
      </c>
      <c r="C22" s="4">
        <f>MAX(Bank_Transactions!E:E)</f>
        <v>4993</v>
      </c>
    </row>
    <row r="23" spans="2:4">
      <c r="B23" t="s">
        <v>73</v>
      </c>
      <c r="C23" s="4">
        <f>MIN(Bank_Transactions!E:E)</f>
        <v>106</v>
      </c>
    </row>
    <row r="24" spans="2:4">
      <c r="B24" t="s">
        <v>74</v>
      </c>
      <c r="C24" s="4">
        <f>MAX(Bank_Transactions!E:E)-MIN(Bank_Transactions!E:E)</f>
        <v>4887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FEDBD-DB91-4957-9D1D-381AC055C624}">
  <dimension ref="A1:L8"/>
  <sheetViews>
    <sheetView workbookViewId="0">
      <selection activeCell="B28" sqref="B28"/>
    </sheetView>
  </sheetViews>
  <sheetFormatPr defaultRowHeight="14.4"/>
  <cols>
    <col min="1" max="1" width="19.109375" customWidth="1"/>
    <col min="2" max="2" width="17.44140625" customWidth="1"/>
    <col min="6" max="6" width="12.5546875" bestFit="1" customWidth="1"/>
    <col min="7" max="7" width="14.44140625" bestFit="1" customWidth="1"/>
    <col min="11" max="11" width="13.77734375" customWidth="1"/>
    <col min="12" max="12" width="18.88671875" customWidth="1"/>
  </cols>
  <sheetData>
    <row r="1" spans="1:12">
      <c r="A1" s="7" t="s">
        <v>47</v>
      </c>
      <c r="B1" t="s">
        <v>49</v>
      </c>
      <c r="F1" s="7" t="s">
        <v>47</v>
      </c>
      <c r="G1" t="s">
        <v>49</v>
      </c>
    </row>
    <row r="2" spans="1:12">
      <c r="A2" s="6" t="s">
        <v>38</v>
      </c>
      <c r="B2" s="4">
        <v>200904</v>
      </c>
      <c r="F2" s="6" t="s">
        <v>31</v>
      </c>
      <c r="G2" s="4">
        <v>79029</v>
      </c>
    </row>
    <row r="3" spans="1:12">
      <c r="A3" s="6" t="s">
        <v>21</v>
      </c>
      <c r="B3" s="4">
        <v>183085</v>
      </c>
      <c r="F3" s="6" t="s">
        <v>29</v>
      </c>
      <c r="G3" s="4">
        <v>74577</v>
      </c>
      <c r="K3" s="7" t="s">
        <v>47</v>
      </c>
      <c r="L3" t="s">
        <v>50</v>
      </c>
    </row>
    <row r="4" spans="1:12">
      <c r="A4" s="6" t="s">
        <v>37</v>
      </c>
      <c r="B4" s="4">
        <v>215314</v>
      </c>
      <c r="F4" s="6" t="s">
        <v>8</v>
      </c>
      <c r="G4" s="4">
        <v>64303</v>
      </c>
      <c r="K4" s="6" t="s">
        <v>10</v>
      </c>
      <c r="L4">
        <v>107</v>
      </c>
    </row>
    <row r="5" spans="1:12">
      <c r="A5" s="6" t="s">
        <v>48</v>
      </c>
      <c r="B5" s="4">
        <v>599303</v>
      </c>
      <c r="F5" s="6" t="s">
        <v>27</v>
      </c>
      <c r="G5" s="4">
        <v>72541</v>
      </c>
      <c r="K5" s="6" t="s">
        <v>23</v>
      </c>
      <c r="L5">
        <v>27</v>
      </c>
    </row>
    <row r="6" spans="1:12">
      <c r="F6" s="6" t="s">
        <v>19</v>
      </c>
      <c r="G6" s="4">
        <v>79821</v>
      </c>
      <c r="K6" s="6" t="s">
        <v>14</v>
      </c>
      <c r="L6">
        <v>53</v>
      </c>
    </row>
    <row r="7" spans="1:12">
      <c r="F7" s="6" t="s">
        <v>48</v>
      </c>
      <c r="G7" s="4">
        <v>370271</v>
      </c>
      <c r="K7" s="6" t="s">
        <v>22</v>
      </c>
      <c r="L7">
        <v>52</v>
      </c>
    </row>
    <row r="8" spans="1:12">
      <c r="K8" s="6" t="s">
        <v>48</v>
      </c>
      <c r="L8">
        <v>239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2A77B-6FF0-441B-B577-FCA0C55F443F}">
  <dimension ref="A1"/>
  <sheetViews>
    <sheetView showGridLines="0" workbookViewId="0">
      <selection activeCell="W8" sqref="W8"/>
    </sheetView>
  </sheetViews>
  <sheetFormatPr defaultRowHeight="14.4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7"/>
  <sheetViews>
    <sheetView tabSelected="1" workbookViewId="0">
      <pane ySplit="1" topLeftCell="A2" activePane="bottomLeft" state="frozen"/>
      <selection pane="bottomLeft" activeCell="O16" sqref="O16"/>
    </sheetView>
  </sheetViews>
  <sheetFormatPr defaultRowHeight="14.4"/>
  <cols>
    <col min="1" max="1" width="14.77734375" style="2" bestFit="1" customWidth="1"/>
    <col min="2" max="2" width="13.109375" style="2" bestFit="1" customWidth="1"/>
    <col min="3" max="3" width="16.21875" style="2" bestFit="1" customWidth="1"/>
    <col min="4" max="4" width="13.88671875" style="3" bestFit="1" customWidth="1"/>
    <col min="5" max="5" width="11.44140625" style="4" customWidth="1"/>
    <col min="6" max="6" width="17" style="5" bestFit="1" customWidth="1"/>
    <col min="9" max="9" width="13.6640625" customWidth="1"/>
    <col min="10" max="13" width="14.6640625" customWidth="1"/>
    <col min="14" max="14" width="13.77734375" customWidth="1"/>
    <col min="16" max="16" width="8.88671875" customWidth="1"/>
  </cols>
  <sheetData>
    <row r="1" spans="1:15" s="1" customFormat="1">
      <c r="A1" s="18" t="s">
        <v>0</v>
      </c>
      <c r="B1" s="18" t="s">
        <v>1</v>
      </c>
      <c r="C1" s="18" t="s">
        <v>2</v>
      </c>
      <c r="D1" s="19" t="s">
        <v>3</v>
      </c>
      <c r="E1" s="20" t="s">
        <v>6</v>
      </c>
      <c r="F1" s="21" t="s">
        <v>7</v>
      </c>
      <c r="G1" s="22" t="s">
        <v>44</v>
      </c>
      <c r="H1" s="22" t="s">
        <v>45</v>
      </c>
      <c r="I1" s="22" t="s">
        <v>46</v>
      </c>
      <c r="J1" s="22" t="s">
        <v>4</v>
      </c>
      <c r="K1" s="22" t="s">
        <v>5</v>
      </c>
      <c r="L1" s="23" t="s">
        <v>51</v>
      </c>
      <c r="M1" s="8"/>
    </row>
    <row r="2" spans="1:15" s="1" customFormat="1">
      <c r="A2" s="24">
        <v>10019</v>
      </c>
      <c r="B2" s="24" t="s">
        <v>31</v>
      </c>
      <c r="C2" s="24" t="s">
        <v>32</v>
      </c>
      <c r="D2" s="25" t="s">
        <v>26</v>
      </c>
      <c r="E2" s="26">
        <v>3512</v>
      </c>
      <c r="F2" s="27">
        <v>44983</v>
      </c>
      <c r="G2" s="28">
        <f t="shared" ref="G2:G65" si="0">DAY(F2)</f>
        <v>26</v>
      </c>
      <c r="H2" s="28">
        <f t="shared" ref="H2:H65" si="1">YEAR(F2)</f>
        <v>2023</v>
      </c>
      <c r="I2" s="29" t="str">
        <f t="shared" ref="I2:I65" si="2">TEXT(F2,"mmm")</f>
        <v>Feb</v>
      </c>
      <c r="J2" s="29" t="str">
        <f>_xlfn.XLOOKUP(B2,Branch_Summary!A:A,Branch_Summary!B:B,"Not Found",0)</f>
        <v>Zarqa</v>
      </c>
      <c r="K2" s="29" t="str">
        <f>_xlfn.XLOOKUP(B2,Branch_Summary!A:A,Branch_Summary!C:C,"Not Found",0)</f>
        <v>Withdrawal</v>
      </c>
      <c r="L2" s="29" t="str">
        <f>IF(E2&gt;4000,"High Value","Low Value")</f>
        <v>Low Value</v>
      </c>
      <c r="M2"/>
    </row>
    <row r="3" spans="1:15">
      <c r="A3" s="24">
        <v>10024</v>
      </c>
      <c r="B3" s="24" t="s">
        <v>31</v>
      </c>
      <c r="C3" s="24" t="s">
        <v>32</v>
      </c>
      <c r="D3" s="25" t="s">
        <v>37</v>
      </c>
      <c r="E3" s="26">
        <v>4097</v>
      </c>
      <c r="F3" s="27">
        <v>44099</v>
      </c>
      <c r="G3" s="28">
        <f t="shared" si="0"/>
        <v>25</v>
      </c>
      <c r="H3" s="28">
        <f t="shared" si="1"/>
        <v>2020</v>
      </c>
      <c r="I3" s="29" t="str">
        <f t="shared" si="2"/>
        <v>Sep</v>
      </c>
      <c r="J3" s="29" t="str">
        <f>_xlfn.XLOOKUP(B3,Branch_Summary!A:A,Branch_Summary!B:B,"Not Found",0)</f>
        <v>Zarqa</v>
      </c>
      <c r="K3" s="29" t="str">
        <f>_xlfn.XLOOKUP(B3,Branch_Summary!A:A,Branch_Summary!C:C,"Not Found",0)</f>
        <v>Withdrawal</v>
      </c>
      <c r="L3" s="29" t="str">
        <f t="shared" ref="L3:L66" si="3">IF(E3&gt;4000,"High Value","Low Value")</f>
        <v>High Value</v>
      </c>
      <c r="N3" s="9" t="s">
        <v>52</v>
      </c>
      <c r="O3" s="10">
        <f>SUM(E2:E240)</f>
        <v>599303</v>
      </c>
    </row>
    <row r="4" spans="1:15">
      <c r="A4" s="24">
        <v>10027</v>
      </c>
      <c r="B4" s="24" t="s">
        <v>31</v>
      </c>
      <c r="C4" s="24" t="s">
        <v>32</v>
      </c>
      <c r="D4" s="25" t="s">
        <v>37</v>
      </c>
      <c r="E4" s="26">
        <v>2158</v>
      </c>
      <c r="F4" s="27">
        <v>44433</v>
      </c>
      <c r="G4" s="28">
        <f t="shared" si="0"/>
        <v>25</v>
      </c>
      <c r="H4" s="28">
        <f t="shared" si="1"/>
        <v>2021</v>
      </c>
      <c r="I4" s="29" t="str">
        <f t="shared" si="2"/>
        <v>Aug</v>
      </c>
      <c r="J4" s="29" t="str">
        <f>_xlfn.XLOOKUP(B4,Branch_Summary!A:A,Branch_Summary!B:B,"Not Found",0)</f>
        <v>Zarqa</v>
      </c>
      <c r="K4" s="29" t="str">
        <f>_xlfn.XLOOKUP(B4,Branch_Summary!A:A,Branch_Summary!C:C,"Not Found",0)</f>
        <v>Withdrawal</v>
      </c>
      <c r="L4" s="29" t="str">
        <f t="shared" si="3"/>
        <v>Low Value</v>
      </c>
      <c r="N4" s="11" t="s">
        <v>53</v>
      </c>
      <c r="O4" s="12">
        <f>AVERAGE(E:E)</f>
        <v>2507.5439330543932</v>
      </c>
    </row>
    <row r="5" spans="1:15">
      <c r="A5" s="24">
        <v>10040</v>
      </c>
      <c r="B5" s="24" t="s">
        <v>31</v>
      </c>
      <c r="C5" s="24" t="s">
        <v>32</v>
      </c>
      <c r="D5" s="25" t="s">
        <v>26</v>
      </c>
      <c r="E5" s="26">
        <v>4557</v>
      </c>
      <c r="F5" s="27">
        <v>44141</v>
      </c>
      <c r="G5" s="28">
        <f t="shared" si="0"/>
        <v>6</v>
      </c>
      <c r="H5" s="28">
        <f t="shared" si="1"/>
        <v>2020</v>
      </c>
      <c r="I5" s="29" t="str">
        <f t="shared" si="2"/>
        <v>Nov</v>
      </c>
      <c r="J5" s="29" t="str">
        <f>_xlfn.XLOOKUP(B5,Branch_Summary!A:A,Branch_Summary!B:B,"Not Found",0)</f>
        <v>Zarqa</v>
      </c>
      <c r="K5" s="29" t="str">
        <f>_xlfn.XLOOKUP(B5,Branch_Summary!A:A,Branch_Summary!C:C,"Not Found",0)</f>
        <v>Withdrawal</v>
      </c>
      <c r="L5" s="29" t="str">
        <f t="shared" si="3"/>
        <v>High Value</v>
      </c>
      <c r="N5" s="13" t="s">
        <v>54</v>
      </c>
      <c r="O5" s="14">
        <f>MAX(E:E)</f>
        <v>4993</v>
      </c>
    </row>
    <row r="6" spans="1:15">
      <c r="A6" s="24">
        <v>10048</v>
      </c>
      <c r="B6" s="24" t="s">
        <v>31</v>
      </c>
      <c r="C6" s="24" t="s">
        <v>32</v>
      </c>
      <c r="D6" s="25" t="s">
        <v>21</v>
      </c>
      <c r="E6" s="26">
        <v>4111</v>
      </c>
      <c r="F6" s="27">
        <v>43633</v>
      </c>
      <c r="G6" s="28">
        <f t="shared" si="0"/>
        <v>17</v>
      </c>
      <c r="H6" s="28">
        <f t="shared" si="1"/>
        <v>2019</v>
      </c>
      <c r="I6" s="29" t="str">
        <f t="shared" si="2"/>
        <v>Jun</v>
      </c>
      <c r="J6" s="29" t="str">
        <f>_xlfn.XLOOKUP(B6,Branch_Summary!A:A,Branch_Summary!B:B,"Not Found",0)</f>
        <v>Zarqa</v>
      </c>
      <c r="K6" s="29" t="str">
        <f>_xlfn.XLOOKUP(B6,Branch_Summary!A:A,Branch_Summary!C:C,"Not Found",0)</f>
        <v>Withdrawal</v>
      </c>
      <c r="L6" s="29" t="str">
        <f t="shared" si="3"/>
        <v>High Value</v>
      </c>
      <c r="N6" s="15" t="s">
        <v>55</v>
      </c>
      <c r="O6" s="16">
        <f>MIN(E:E)</f>
        <v>106</v>
      </c>
    </row>
    <row r="7" spans="1:15">
      <c r="A7" s="24">
        <v>10069</v>
      </c>
      <c r="B7" s="24" t="s">
        <v>31</v>
      </c>
      <c r="C7" s="24" t="s">
        <v>32</v>
      </c>
      <c r="D7" s="25" t="s">
        <v>26</v>
      </c>
      <c r="E7" s="26">
        <v>1895</v>
      </c>
      <c r="F7" s="27">
        <v>44590</v>
      </c>
      <c r="G7" s="28">
        <f t="shared" si="0"/>
        <v>29</v>
      </c>
      <c r="H7" s="28">
        <f t="shared" si="1"/>
        <v>2022</v>
      </c>
      <c r="I7" s="29" t="str">
        <f t="shared" si="2"/>
        <v>Jan</v>
      </c>
      <c r="J7" s="29" t="str">
        <f>_xlfn.XLOOKUP(B7,Branch_Summary!A:A,Branch_Summary!B:B,"Not Found",0)</f>
        <v>Zarqa</v>
      </c>
      <c r="K7" s="29" t="str">
        <f>_xlfn.XLOOKUP(B7,Branch_Summary!A:A,Branch_Summary!C:C,"Not Found",0)</f>
        <v>Withdrawal</v>
      </c>
      <c r="L7" s="29" t="str">
        <f t="shared" si="3"/>
        <v>Low Value</v>
      </c>
      <c r="N7" s="17" t="s">
        <v>56</v>
      </c>
      <c r="O7" s="17">
        <f>COUNT(E:E)</f>
        <v>239</v>
      </c>
    </row>
    <row r="8" spans="1:15">
      <c r="A8" s="24">
        <v>10073</v>
      </c>
      <c r="B8" s="24" t="s">
        <v>31</v>
      </c>
      <c r="C8" s="24" t="s">
        <v>32</v>
      </c>
      <c r="D8" s="25" t="s">
        <v>37</v>
      </c>
      <c r="E8" s="26">
        <v>3024</v>
      </c>
      <c r="F8" s="27">
        <v>45202</v>
      </c>
      <c r="G8" s="28">
        <f t="shared" si="0"/>
        <v>3</v>
      </c>
      <c r="H8" s="28">
        <f t="shared" si="1"/>
        <v>2023</v>
      </c>
      <c r="I8" s="29" t="str">
        <f t="shared" si="2"/>
        <v>Oct</v>
      </c>
      <c r="J8" s="29" t="str">
        <f>_xlfn.XLOOKUP(B8,Branch_Summary!A:A,Branch_Summary!B:B,"Not Found",0)</f>
        <v>Zarqa</v>
      </c>
      <c r="K8" s="29" t="str">
        <f>_xlfn.XLOOKUP(B8,Branch_Summary!A:A,Branch_Summary!C:C,"Not Found",0)</f>
        <v>Withdrawal</v>
      </c>
      <c r="L8" s="29" t="str">
        <f t="shared" si="3"/>
        <v>Low Value</v>
      </c>
    </row>
    <row r="9" spans="1:15">
      <c r="A9" s="24">
        <v>10109</v>
      </c>
      <c r="B9" s="24" t="s">
        <v>31</v>
      </c>
      <c r="C9" s="24" t="s">
        <v>32</v>
      </c>
      <c r="D9" s="25" t="s">
        <v>21</v>
      </c>
      <c r="E9" s="26">
        <v>4229</v>
      </c>
      <c r="F9" s="27">
        <v>43876</v>
      </c>
      <c r="G9" s="28">
        <f t="shared" si="0"/>
        <v>15</v>
      </c>
      <c r="H9" s="28">
        <f t="shared" si="1"/>
        <v>2020</v>
      </c>
      <c r="I9" s="29" t="str">
        <f t="shared" si="2"/>
        <v>Feb</v>
      </c>
      <c r="J9" s="29" t="str">
        <f>_xlfn.XLOOKUP(B9,Branch_Summary!A:A,Branch_Summary!B:B,"Not Found",0)</f>
        <v>Zarqa</v>
      </c>
      <c r="K9" s="29" t="str">
        <f>_xlfn.XLOOKUP(B9,Branch_Summary!A:A,Branch_Summary!C:C,"Not Found",0)</f>
        <v>Withdrawal</v>
      </c>
      <c r="L9" s="29" t="str">
        <f t="shared" si="3"/>
        <v>High Value</v>
      </c>
    </row>
    <row r="10" spans="1:15">
      <c r="A10" s="24">
        <v>10111</v>
      </c>
      <c r="B10" s="24" t="s">
        <v>31</v>
      </c>
      <c r="C10" s="24" t="s">
        <v>32</v>
      </c>
      <c r="D10" s="25" t="s">
        <v>37</v>
      </c>
      <c r="E10" s="26">
        <v>4130</v>
      </c>
      <c r="F10" s="27">
        <v>44663</v>
      </c>
      <c r="G10" s="28">
        <f t="shared" si="0"/>
        <v>12</v>
      </c>
      <c r="H10" s="28">
        <f t="shared" si="1"/>
        <v>2022</v>
      </c>
      <c r="I10" s="29" t="str">
        <f t="shared" si="2"/>
        <v>Apr</v>
      </c>
      <c r="J10" s="29" t="str">
        <f>_xlfn.XLOOKUP(B10,Branch_Summary!A:A,Branch_Summary!B:B,"Not Found",0)</f>
        <v>Zarqa</v>
      </c>
      <c r="K10" s="29" t="str">
        <f>_xlfn.XLOOKUP(B10,Branch_Summary!A:A,Branch_Summary!C:C,"Not Found",0)</f>
        <v>Withdrawal</v>
      </c>
      <c r="L10" s="29" t="str">
        <f t="shared" si="3"/>
        <v>High Value</v>
      </c>
    </row>
    <row r="11" spans="1:15">
      <c r="A11" s="24">
        <v>10124</v>
      </c>
      <c r="B11" s="24" t="s">
        <v>31</v>
      </c>
      <c r="C11" s="24" t="s">
        <v>32</v>
      </c>
      <c r="D11" s="25" t="s">
        <v>26</v>
      </c>
      <c r="E11" s="26">
        <v>1160</v>
      </c>
      <c r="F11" s="27">
        <v>43487</v>
      </c>
      <c r="G11" s="28">
        <f t="shared" si="0"/>
        <v>22</v>
      </c>
      <c r="H11" s="28">
        <f t="shared" si="1"/>
        <v>2019</v>
      </c>
      <c r="I11" s="29" t="str">
        <f t="shared" si="2"/>
        <v>Jan</v>
      </c>
      <c r="J11" s="29" t="str">
        <f>_xlfn.XLOOKUP(B11,Branch_Summary!A:A,Branch_Summary!B:B,"Not Found",0)</f>
        <v>Zarqa</v>
      </c>
      <c r="K11" s="29" t="str">
        <f>_xlfn.XLOOKUP(B11,Branch_Summary!A:A,Branch_Summary!C:C,"Not Found",0)</f>
        <v>Withdrawal</v>
      </c>
      <c r="L11" s="29" t="str">
        <f t="shared" si="3"/>
        <v>Low Value</v>
      </c>
    </row>
    <row r="12" spans="1:15">
      <c r="A12" s="24">
        <v>10126</v>
      </c>
      <c r="B12" s="24" t="s">
        <v>31</v>
      </c>
      <c r="C12" s="24" t="s">
        <v>32</v>
      </c>
      <c r="D12" s="25" t="s">
        <v>26</v>
      </c>
      <c r="E12" s="26">
        <v>1658</v>
      </c>
      <c r="F12" s="27">
        <v>43945</v>
      </c>
      <c r="G12" s="28">
        <f t="shared" si="0"/>
        <v>24</v>
      </c>
      <c r="H12" s="28">
        <f t="shared" si="1"/>
        <v>2020</v>
      </c>
      <c r="I12" s="29" t="str">
        <f t="shared" si="2"/>
        <v>Apr</v>
      </c>
      <c r="J12" s="29" t="str">
        <f>_xlfn.XLOOKUP(B12,Branch_Summary!A:A,Branch_Summary!B:B,"Not Found",0)</f>
        <v>Zarqa</v>
      </c>
      <c r="K12" s="29" t="str">
        <f>_xlfn.XLOOKUP(B12,Branch_Summary!A:A,Branch_Summary!C:C,"Not Found",0)</f>
        <v>Withdrawal</v>
      </c>
      <c r="L12" s="29" t="str">
        <f t="shared" si="3"/>
        <v>Low Value</v>
      </c>
    </row>
    <row r="13" spans="1:15">
      <c r="A13" s="24">
        <v>10134</v>
      </c>
      <c r="B13" s="24" t="s">
        <v>31</v>
      </c>
      <c r="C13" s="24" t="s">
        <v>32</v>
      </c>
      <c r="D13" s="25" t="s">
        <v>26</v>
      </c>
      <c r="E13" s="26">
        <v>444</v>
      </c>
      <c r="F13" s="27">
        <v>43622</v>
      </c>
      <c r="G13" s="28">
        <f t="shared" si="0"/>
        <v>6</v>
      </c>
      <c r="H13" s="28">
        <f t="shared" si="1"/>
        <v>2019</v>
      </c>
      <c r="I13" s="29" t="str">
        <f t="shared" si="2"/>
        <v>Jun</v>
      </c>
      <c r="J13" s="29" t="str">
        <f>_xlfn.XLOOKUP(B13,Branch_Summary!A:A,Branch_Summary!B:B,"Not Found",0)</f>
        <v>Zarqa</v>
      </c>
      <c r="K13" s="29" t="str">
        <f>_xlfn.XLOOKUP(B13,Branch_Summary!A:A,Branch_Summary!C:C,"Not Found",0)</f>
        <v>Withdrawal</v>
      </c>
      <c r="L13" s="29" t="str">
        <f t="shared" si="3"/>
        <v>Low Value</v>
      </c>
    </row>
    <row r="14" spans="1:15">
      <c r="A14" s="24">
        <v>10138</v>
      </c>
      <c r="B14" s="24" t="s">
        <v>31</v>
      </c>
      <c r="C14" s="24" t="s">
        <v>32</v>
      </c>
      <c r="D14" s="25" t="s">
        <v>37</v>
      </c>
      <c r="E14" s="26">
        <v>215</v>
      </c>
      <c r="F14" s="27">
        <v>45223</v>
      </c>
      <c r="G14" s="28">
        <f t="shared" si="0"/>
        <v>24</v>
      </c>
      <c r="H14" s="28">
        <f t="shared" si="1"/>
        <v>2023</v>
      </c>
      <c r="I14" s="29" t="str">
        <f t="shared" si="2"/>
        <v>Oct</v>
      </c>
      <c r="J14" s="29" t="str">
        <f>_xlfn.XLOOKUP(B14,Branch_Summary!A:A,Branch_Summary!B:B,"Not Found",0)</f>
        <v>Zarqa</v>
      </c>
      <c r="K14" s="29" t="str">
        <f>_xlfn.XLOOKUP(B14,Branch_Summary!A:A,Branch_Summary!C:C,"Not Found",0)</f>
        <v>Withdrawal</v>
      </c>
      <c r="L14" s="29" t="str">
        <f t="shared" si="3"/>
        <v>Low Value</v>
      </c>
    </row>
    <row r="15" spans="1:15">
      <c r="A15" s="24">
        <v>10144</v>
      </c>
      <c r="B15" s="24" t="s">
        <v>31</v>
      </c>
      <c r="C15" s="24" t="s">
        <v>32</v>
      </c>
      <c r="D15" s="25" t="s">
        <v>21</v>
      </c>
      <c r="E15" s="26">
        <v>3398</v>
      </c>
      <c r="F15" s="27">
        <v>44114</v>
      </c>
      <c r="G15" s="28">
        <f t="shared" si="0"/>
        <v>10</v>
      </c>
      <c r="H15" s="28">
        <f t="shared" si="1"/>
        <v>2020</v>
      </c>
      <c r="I15" s="29" t="str">
        <f t="shared" si="2"/>
        <v>Oct</v>
      </c>
      <c r="J15" s="29" t="str">
        <f>_xlfn.XLOOKUP(B15,Branch_Summary!A:A,Branch_Summary!B:B,"Not Found",0)</f>
        <v>Zarqa</v>
      </c>
      <c r="K15" s="29" t="str">
        <f>_xlfn.XLOOKUP(B15,Branch_Summary!A:A,Branch_Summary!C:C,"Not Found",0)</f>
        <v>Withdrawal</v>
      </c>
      <c r="L15" s="29" t="str">
        <f t="shared" si="3"/>
        <v>Low Value</v>
      </c>
    </row>
    <row r="16" spans="1:15">
      <c r="A16" s="24">
        <v>10157</v>
      </c>
      <c r="B16" s="24" t="s">
        <v>31</v>
      </c>
      <c r="C16" s="24" t="s">
        <v>32</v>
      </c>
      <c r="D16" s="25" t="s">
        <v>26</v>
      </c>
      <c r="E16" s="26">
        <v>2332</v>
      </c>
      <c r="F16" s="27">
        <v>45181</v>
      </c>
      <c r="G16" s="28">
        <f t="shared" si="0"/>
        <v>12</v>
      </c>
      <c r="H16" s="28">
        <f t="shared" si="1"/>
        <v>2023</v>
      </c>
      <c r="I16" s="29" t="str">
        <f t="shared" si="2"/>
        <v>Sep</v>
      </c>
      <c r="J16" s="29" t="str">
        <f>_xlfn.XLOOKUP(B16,Branch_Summary!A:A,Branch_Summary!B:B,"Not Found",0)</f>
        <v>Zarqa</v>
      </c>
      <c r="K16" s="29" t="str">
        <f>_xlfn.XLOOKUP(B16,Branch_Summary!A:A,Branch_Summary!C:C,"Not Found",0)</f>
        <v>Withdrawal</v>
      </c>
      <c r="L16" s="29" t="str">
        <f t="shared" si="3"/>
        <v>Low Value</v>
      </c>
    </row>
    <row r="17" spans="1:12">
      <c r="A17" s="24">
        <v>10160</v>
      </c>
      <c r="B17" s="24" t="s">
        <v>31</v>
      </c>
      <c r="C17" s="24" t="s">
        <v>32</v>
      </c>
      <c r="D17" s="25" t="s">
        <v>21</v>
      </c>
      <c r="E17" s="26">
        <v>3417</v>
      </c>
      <c r="F17" s="27">
        <v>43672</v>
      </c>
      <c r="G17" s="28">
        <f t="shared" si="0"/>
        <v>26</v>
      </c>
      <c r="H17" s="28">
        <f t="shared" si="1"/>
        <v>2019</v>
      </c>
      <c r="I17" s="29" t="str">
        <f t="shared" si="2"/>
        <v>Jul</v>
      </c>
      <c r="J17" s="29" t="str">
        <f>_xlfn.XLOOKUP(B17,Branch_Summary!A:A,Branch_Summary!B:B,"Not Found",0)</f>
        <v>Zarqa</v>
      </c>
      <c r="K17" s="29" t="str">
        <f>_xlfn.XLOOKUP(B17,Branch_Summary!A:A,Branch_Summary!C:C,"Not Found",0)</f>
        <v>Withdrawal</v>
      </c>
      <c r="L17" s="29" t="str">
        <f t="shared" si="3"/>
        <v>Low Value</v>
      </c>
    </row>
    <row r="18" spans="1:12">
      <c r="A18" s="24">
        <v>10167</v>
      </c>
      <c r="B18" s="24" t="s">
        <v>31</v>
      </c>
      <c r="C18" s="24" t="s">
        <v>32</v>
      </c>
      <c r="D18" s="25" t="s">
        <v>37</v>
      </c>
      <c r="E18" s="26">
        <v>2730</v>
      </c>
      <c r="F18" s="27">
        <v>44382</v>
      </c>
      <c r="G18" s="28">
        <f t="shared" si="0"/>
        <v>5</v>
      </c>
      <c r="H18" s="28">
        <f t="shared" si="1"/>
        <v>2021</v>
      </c>
      <c r="I18" s="29" t="str">
        <f t="shared" si="2"/>
        <v>Jul</v>
      </c>
      <c r="J18" s="29" t="str">
        <f>_xlfn.XLOOKUP(B18,Branch_Summary!A:A,Branch_Summary!B:B,"Not Found",0)</f>
        <v>Zarqa</v>
      </c>
      <c r="K18" s="29" t="str">
        <f>_xlfn.XLOOKUP(B18,Branch_Summary!A:A,Branch_Summary!C:C,"Not Found",0)</f>
        <v>Withdrawal</v>
      </c>
      <c r="L18" s="29" t="str">
        <f t="shared" si="3"/>
        <v>Low Value</v>
      </c>
    </row>
    <row r="19" spans="1:12">
      <c r="A19" s="24">
        <v>10171</v>
      </c>
      <c r="B19" s="24" t="s">
        <v>31</v>
      </c>
      <c r="C19" s="24" t="s">
        <v>32</v>
      </c>
      <c r="D19" s="25" t="s">
        <v>21</v>
      </c>
      <c r="E19" s="26">
        <v>891</v>
      </c>
      <c r="F19" s="27">
        <v>45511</v>
      </c>
      <c r="G19" s="28">
        <f t="shared" si="0"/>
        <v>7</v>
      </c>
      <c r="H19" s="28">
        <f t="shared" si="1"/>
        <v>2024</v>
      </c>
      <c r="I19" s="29" t="str">
        <f t="shared" si="2"/>
        <v>Aug</v>
      </c>
      <c r="J19" s="29" t="str">
        <f>_xlfn.XLOOKUP(B19,Branch_Summary!A:A,Branch_Summary!B:B,"Not Found",0)</f>
        <v>Zarqa</v>
      </c>
      <c r="K19" s="29" t="str">
        <f>_xlfn.XLOOKUP(B19,Branch_Summary!A:A,Branch_Summary!C:C,"Not Found",0)</f>
        <v>Withdrawal</v>
      </c>
      <c r="L19" s="29" t="str">
        <f t="shared" si="3"/>
        <v>Low Value</v>
      </c>
    </row>
    <row r="20" spans="1:12">
      <c r="A20" s="24">
        <v>10179</v>
      </c>
      <c r="B20" s="24" t="s">
        <v>31</v>
      </c>
      <c r="C20" s="24" t="s">
        <v>32</v>
      </c>
      <c r="D20" s="25" t="s">
        <v>37</v>
      </c>
      <c r="E20" s="26">
        <v>2565</v>
      </c>
      <c r="F20" s="27">
        <v>44775</v>
      </c>
      <c r="G20" s="28">
        <f t="shared" si="0"/>
        <v>2</v>
      </c>
      <c r="H20" s="28">
        <f t="shared" si="1"/>
        <v>2022</v>
      </c>
      <c r="I20" s="29" t="str">
        <f t="shared" si="2"/>
        <v>Aug</v>
      </c>
      <c r="J20" s="29" t="str">
        <f>_xlfn.XLOOKUP(B20,Branch_Summary!A:A,Branch_Summary!B:B,"Not Found",0)</f>
        <v>Zarqa</v>
      </c>
      <c r="K20" s="29" t="str">
        <f>_xlfn.XLOOKUP(B20,Branch_Summary!A:A,Branch_Summary!C:C,"Not Found",0)</f>
        <v>Withdrawal</v>
      </c>
      <c r="L20" s="29" t="str">
        <f t="shared" si="3"/>
        <v>Low Value</v>
      </c>
    </row>
    <row r="21" spans="1:12">
      <c r="A21" s="24">
        <v>10185</v>
      </c>
      <c r="B21" s="24" t="s">
        <v>31</v>
      </c>
      <c r="C21" s="24" t="s">
        <v>32</v>
      </c>
      <c r="D21" s="25" t="s">
        <v>26</v>
      </c>
      <c r="E21" s="26">
        <v>3136</v>
      </c>
      <c r="F21" s="27">
        <v>43799</v>
      </c>
      <c r="G21" s="28">
        <f t="shared" si="0"/>
        <v>30</v>
      </c>
      <c r="H21" s="28">
        <f t="shared" si="1"/>
        <v>2019</v>
      </c>
      <c r="I21" s="29" t="str">
        <f t="shared" si="2"/>
        <v>Nov</v>
      </c>
      <c r="J21" s="29" t="str">
        <f>_xlfn.XLOOKUP(B21,Branch_Summary!A:A,Branch_Summary!B:B,"Not Found",0)</f>
        <v>Zarqa</v>
      </c>
      <c r="K21" s="29" t="str">
        <f>_xlfn.XLOOKUP(B21,Branch_Summary!A:A,Branch_Summary!C:C,"Not Found",0)</f>
        <v>Withdrawal</v>
      </c>
      <c r="L21" s="29" t="str">
        <f t="shared" si="3"/>
        <v>Low Value</v>
      </c>
    </row>
    <row r="22" spans="1:12">
      <c r="A22" s="24">
        <v>10193</v>
      </c>
      <c r="B22" s="24" t="s">
        <v>31</v>
      </c>
      <c r="C22" s="24" t="s">
        <v>32</v>
      </c>
      <c r="D22" s="25" t="s">
        <v>26</v>
      </c>
      <c r="E22" s="26">
        <v>3856</v>
      </c>
      <c r="F22" s="27">
        <v>44249</v>
      </c>
      <c r="G22" s="28">
        <f t="shared" si="0"/>
        <v>22</v>
      </c>
      <c r="H22" s="28">
        <f t="shared" si="1"/>
        <v>2021</v>
      </c>
      <c r="I22" s="29" t="str">
        <f t="shared" si="2"/>
        <v>Feb</v>
      </c>
      <c r="J22" s="29" t="str">
        <f>_xlfn.XLOOKUP(B22,Branch_Summary!A:A,Branch_Summary!B:B,"Not Found",0)</f>
        <v>Zarqa</v>
      </c>
      <c r="K22" s="29" t="str">
        <f>_xlfn.XLOOKUP(B22,Branch_Summary!A:A,Branch_Summary!C:C,"Not Found",0)</f>
        <v>Withdrawal</v>
      </c>
      <c r="L22" s="29" t="str">
        <f t="shared" si="3"/>
        <v>Low Value</v>
      </c>
    </row>
    <row r="23" spans="1:12">
      <c r="A23" s="24">
        <v>10199</v>
      </c>
      <c r="B23" s="24" t="s">
        <v>31</v>
      </c>
      <c r="C23" s="24" t="s">
        <v>32</v>
      </c>
      <c r="D23" s="25" t="s">
        <v>26</v>
      </c>
      <c r="E23" s="26">
        <v>1128</v>
      </c>
      <c r="F23" s="27">
        <v>44870</v>
      </c>
      <c r="G23" s="28">
        <f t="shared" si="0"/>
        <v>5</v>
      </c>
      <c r="H23" s="28">
        <f t="shared" si="1"/>
        <v>2022</v>
      </c>
      <c r="I23" s="29" t="str">
        <f t="shared" si="2"/>
        <v>Nov</v>
      </c>
      <c r="J23" s="29" t="str">
        <f>_xlfn.XLOOKUP(B23,Branch_Summary!A:A,Branch_Summary!B:B,"Not Found",0)</f>
        <v>Zarqa</v>
      </c>
      <c r="K23" s="29" t="str">
        <f>_xlfn.XLOOKUP(B23,Branch_Summary!A:A,Branch_Summary!C:C,"Not Found",0)</f>
        <v>Withdrawal</v>
      </c>
      <c r="L23" s="29" t="str">
        <f t="shared" si="3"/>
        <v>Low Value</v>
      </c>
    </row>
    <row r="24" spans="1:12">
      <c r="A24" s="24">
        <v>10213</v>
      </c>
      <c r="B24" s="24" t="s">
        <v>31</v>
      </c>
      <c r="C24" s="24" t="s">
        <v>32</v>
      </c>
      <c r="D24" s="25" t="s">
        <v>37</v>
      </c>
      <c r="E24" s="26">
        <v>4152</v>
      </c>
      <c r="F24" s="27">
        <v>43837</v>
      </c>
      <c r="G24" s="28">
        <f t="shared" si="0"/>
        <v>7</v>
      </c>
      <c r="H24" s="28">
        <f t="shared" si="1"/>
        <v>2020</v>
      </c>
      <c r="I24" s="29" t="str">
        <f t="shared" si="2"/>
        <v>Jan</v>
      </c>
      <c r="J24" s="29" t="str">
        <f>_xlfn.XLOOKUP(B24,Branch_Summary!A:A,Branch_Summary!B:B,"Not Found",0)</f>
        <v>Zarqa</v>
      </c>
      <c r="K24" s="29" t="str">
        <f>_xlfn.XLOOKUP(B24,Branch_Summary!A:A,Branch_Summary!C:C,"Not Found",0)</f>
        <v>Withdrawal</v>
      </c>
      <c r="L24" s="29" t="str">
        <f t="shared" si="3"/>
        <v>High Value</v>
      </c>
    </row>
    <row r="25" spans="1:12">
      <c r="A25" s="24">
        <v>10216</v>
      </c>
      <c r="B25" s="24" t="s">
        <v>31</v>
      </c>
      <c r="C25" s="24" t="s">
        <v>32</v>
      </c>
      <c r="D25" s="25" t="s">
        <v>21</v>
      </c>
      <c r="E25" s="26">
        <v>2600</v>
      </c>
      <c r="F25" s="27">
        <v>45426</v>
      </c>
      <c r="G25" s="28">
        <f t="shared" si="0"/>
        <v>14</v>
      </c>
      <c r="H25" s="28">
        <f t="shared" si="1"/>
        <v>2024</v>
      </c>
      <c r="I25" s="29" t="str">
        <f t="shared" si="2"/>
        <v>May</v>
      </c>
      <c r="J25" s="29" t="str">
        <f>_xlfn.XLOOKUP(B25,Branch_Summary!A:A,Branch_Summary!B:B,"Not Found",0)</f>
        <v>Zarqa</v>
      </c>
      <c r="K25" s="29" t="str">
        <f>_xlfn.XLOOKUP(B25,Branch_Summary!A:A,Branch_Summary!C:C,"Not Found",0)</f>
        <v>Withdrawal</v>
      </c>
      <c r="L25" s="29" t="str">
        <f t="shared" si="3"/>
        <v>Low Value</v>
      </c>
    </row>
    <row r="26" spans="1:12">
      <c r="A26" s="24">
        <v>10220</v>
      </c>
      <c r="B26" s="24" t="s">
        <v>31</v>
      </c>
      <c r="C26" s="24" t="s">
        <v>32</v>
      </c>
      <c r="D26" s="25" t="s">
        <v>26</v>
      </c>
      <c r="E26" s="26">
        <v>549</v>
      </c>
      <c r="F26" s="27">
        <v>44955</v>
      </c>
      <c r="G26" s="28">
        <f t="shared" si="0"/>
        <v>29</v>
      </c>
      <c r="H26" s="28">
        <f t="shared" si="1"/>
        <v>2023</v>
      </c>
      <c r="I26" s="29" t="str">
        <f t="shared" si="2"/>
        <v>Jan</v>
      </c>
      <c r="J26" s="29" t="str">
        <f>_xlfn.XLOOKUP(B26,Branch_Summary!A:A,Branch_Summary!B:B,"Not Found",0)</f>
        <v>Zarqa</v>
      </c>
      <c r="K26" s="29" t="str">
        <f>_xlfn.XLOOKUP(B26,Branch_Summary!A:A,Branch_Summary!C:C,"Not Found",0)</f>
        <v>Withdrawal</v>
      </c>
      <c r="L26" s="29" t="str">
        <f t="shared" si="3"/>
        <v>Low Value</v>
      </c>
    </row>
    <row r="27" spans="1:12">
      <c r="A27" s="24">
        <v>10227</v>
      </c>
      <c r="B27" s="24" t="s">
        <v>31</v>
      </c>
      <c r="C27" s="24" t="s">
        <v>32</v>
      </c>
      <c r="D27" s="25" t="s">
        <v>21</v>
      </c>
      <c r="E27" s="26">
        <v>2505</v>
      </c>
      <c r="F27" s="27">
        <v>45664</v>
      </c>
      <c r="G27" s="28">
        <f t="shared" si="0"/>
        <v>7</v>
      </c>
      <c r="H27" s="28">
        <f t="shared" si="1"/>
        <v>2025</v>
      </c>
      <c r="I27" s="29" t="str">
        <f t="shared" si="2"/>
        <v>Jan</v>
      </c>
      <c r="J27" s="29" t="str">
        <f>_xlfn.XLOOKUP(B27,Branch_Summary!A:A,Branch_Summary!B:B,"Not Found",0)</f>
        <v>Zarqa</v>
      </c>
      <c r="K27" s="29" t="str">
        <f>_xlfn.XLOOKUP(B27,Branch_Summary!A:A,Branch_Summary!C:C,"Not Found",0)</f>
        <v>Withdrawal</v>
      </c>
      <c r="L27" s="29" t="str">
        <f t="shared" si="3"/>
        <v>Low Value</v>
      </c>
    </row>
    <row r="28" spans="1:12">
      <c r="A28" s="24">
        <v>10228</v>
      </c>
      <c r="B28" s="24" t="s">
        <v>31</v>
      </c>
      <c r="C28" s="24" t="s">
        <v>32</v>
      </c>
      <c r="D28" s="25" t="s">
        <v>21</v>
      </c>
      <c r="E28" s="26">
        <v>2502</v>
      </c>
      <c r="F28" s="27">
        <v>44767</v>
      </c>
      <c r="G28" s="28">
        <f t="shared" si="0"/>
        <v>25</v>
      </c>
      <c r="H28" s="28">
        <f t="shared" si="1"/>
        <v>2022</v>
      </c>
      <c r="I28" s="29" t="str">
        <f t="shared" si="2"/>
        <v>Jul</v>
      </c>
      <c r="J28" s="29" t="str">
        <f>_xlfn.XLOOKUP(B28,Branch_Summary!A:A,Branch_Summary!B:B,"Not Found",0)</f>
        <v>Zarqa</v>
      </c>
      <c r="K28" s="29" t="str">
        <f>_xlfn.XLOOKUP(B28,Branch_Summary!A:A,Branch_Summary!C:C,"Not Found",0)</f>
        <v>Withdrawal</v>
      </c>
      <c r="L28" s="29" t="str">
        <f t="shared" si="3"/>
        <v>Low Value</v>
      </c>
    </row>
    <row r="29" spans="1:12">
      <c r="A29" s="24">
        <v>10230</v>
      </c>
      <c r="B29" s="24" t="s">
        <v>31</v>
      </c>
      <c r="C29" s="24" t="s">
        <v>32</v>
      </c>
      <c r="D29" s="25" t="s">
        <v>37</v>
      </c>
      <c r="E29" s="26">
        <v>3895</v>
      </c>
      <c r="F29" s="27">
        <v>45166</v>
      </c>
      <c r="G29" s="28">
        <f t="shared" si="0"/>
        <v>28</v>
      </c>
      <c r="H29" s="28">
        <f t="shared" si="1"/>
        <v>2023</v>
      </c>
      <c r="I29" s="29" t="str">
        <f t="shared" si="2"/>
        <v>Aug</v>
      </c>
      <c r="J29" s="29" t="str">
        <f>_xlfn.XLOOKUP(B29,Branch_Summary!A:A,Branch_Summary!B:B,"Not Found",0)</f>
        <v>Zarqa</v>
      </c>
      <c r="K29" s="29" t="str">
        <f>_xlfn.XLOOKUP(B29,Branch_Summary!A:A,Branch_Summary!C:C,"Not Found",0)</f>
        <v>Withdrawal</v>
      </c>
      <c r="L29" s="29" t="str">
        <f t="shared" si="3"/>
        <v>Low Value</v>
      </c>
    </row>
    <row r="30" spans="1:12">
      <c r="A30" s="24">
        <v>10231</v>
      </c>
      <c r="B30" s="24" t="s">
        <v>31</v>
      </c>
      <c r="C30" s="24" t="s">
        <v>32</v>
      </c>
      <c r="D30" s="25" t="s">
        <v>21</v>
      </c>
      <c r="E30" s="26">
        <v>2525</v>
      </c>
      <c r="F30" s="27">
        <v>43623</v>
      </c>
      <c r="G30" s="28">
        <f t="shared" si="0"/>
        <v>7</v>
      </c>
      <c r="H30" s="28">
        <f t="shared" si="1"/>
        <v>2019</v>
      </c>
      <c r="I30" s="29" t="str">
        <f t="shared" si="2"/>
        <v>Jun</v>
      </c>
      <c r="J30" s="29" t="str">
        <f>_xlfn.XLOOKUP(B30,Branch_Summary!A:A,Branch_Summary!B:B,"Not Found",0)</f>
        <v>Zarqa</v>
      </c>
      <c r="K30" s="29" t="str">
        <f>_xlfn.XLOOKUP(B30,Branch_Summary!A:A,Branch_Summary!C:C,"Not Found",0)</f>
        <v>Withdrawal</v>
      </c>
      <c r="L30" s="29" t="str">
        <f t="shared" si="3"/>
        <v>Low Value</v>
      </c>
    </row>
    <row r="31" spans="1:12">
      <c r="A31" s="24">
        <v>10249</v>
      </c>
      <c r="B31" s="24" t="s">
        <v>31</v>
      </c>
      <c r="C31" s="24" t="s">
        <v>32</v>
      </c>
      <c r="D31" s="25" t="s">
        <v>21</v>
      </c>
      <c r="E31" s="26">
        <v>1658</v>
      </c>
      <c r="F31" s="27">
        <v>44260</v>
      </c>
      <c r="G31" s="28">
        <f t="shared" si="0"/>
        <v>5</v>
      </c>
      <c r="H31" s="28">
        <f t="shared" si="1"/>
        <v>2021</v>
      </c>
      <c r="I31" s="29" t="str">
        <f t="shared" si="2"/>
        <v>Mar</v>
      </c>
      <c r="J31" s="29" t="str">
        <f>_xlfn.XLOOKUP(B31,Branch_Summary!A:A,Branch_Summary!B:B,"Not Found",0)</f>
        <v>Zarqa</v>
      </c>
      <c r="K31" s="29" t="str">
        <f>_xlfn.XLOOKUP(B31,Branch_Summary!A:A,Branch_Summary!C:C,"Not Found",0)</f>
        <v>Withdrawal</v>
      </c>
      <c r="L31" s="29" t="str">
        <f t="shared" si="3"/>
        <v>Low Value</v>
      </c>
    </row>
    <row r="32" spans="1:12">
      <c r="A32" s="24">
        <v>10010</v>
      </c>
      <c r="B32" s="24" t="s">
        <v>33</v>
      </c>
      <c r="C32" s="24" t="s">
        <v>43</v>
      </c>
      <c r="D32" s="25" t="s">
        <v>37</v>
      </c>
      <c r="E32" s="26">
        <v>4500</v>
      </c>
      <c r="F32" s="27">
        <v>44917</v>
      </c>
      <c r="G32" s="28">
        <f t="shared" si="0"/>
        <v>22</v>
      </c>
      <c r="H32" s="28">
        <f t="shared" si="1"/>
        <v>2022</v>
      </c>
      <c r="I32" s="29" t="str">
        <f t="shared" si="2"/>
        <v>Dec</v>
      </c>
      <c r="J32" s="29" t="str">
        <f>_xlfn.XLOOKUP(B32,Branch_Summary!A:A,Branch_Summary!B:B,"Not Found",0)</f>
        <v>Amman Main</v>
      </c>
      <c r="K32" s="29" t="str">
        <f>_xlfn.XLOOKUP(B32,Branch_Summary!A:A,Branch_Summary!C:C,"Not Found",0)</f>
        <v>Withdrawal</v>
      </c>
      <c r="L32" s="29" t="str">
        <f t="shared" si="3"/>
        <v>High Value</v>
      </c>
    </row>
    <row r="33" spans="1:12">
      <c r="A33" s="24">
        <v>10023</v>
      </c>
      <c r="B33" s="24" t="s">
        <v>33</v>
      </c>
      <c r="C33" s="24" t="s">
        <v>34</v>
      </c>
      <c r="D33" s="25" t="s">
        <v>26</v>
      </c>
      <c r="E33" s="26">
        <v>2784</v>
      </c>
      <c r="F33" s="27">
        <v>44950</v>
      </c>
      <c r="G33" s="28">
        <f t="shared" si="0"/>
        <v>24</v>
      </c>
      <c r="H33" s="28">
        <f t="shared" si="1"/>
        <v>2023</v>
      </c>
      <c r="I33" s="29" t="str">
        <f t="shared" si="2"/>
        <v>Jan</v>
      </c>
      <c r="J33" s="29" t="str">
        <f>_xlfn.XLOOKUP(B33,Branch_Summary!A:A,Branch_Summary!B:B,"Not Found",0)</f>
        <v>Amman Main</v>
      </c>
      <c r="K33" s="29" t="str">
        <f>_xlfn.XLOOKUP(B33,Branch_Summary!A:A,Branch_Summary!C:C,"Not Found",0)</f>
        <v>Withdrawal</v>
      </c>
      <c r="L33" s="29" t="str">
        <f t="shared" si="3"/>
        <v>Low Value</v>
      </c>
    </row>
    <row r="34" spans="1:12">
      <c r="A34" s="24">
        <v>10026</v>
      </c>
      <c r="B34" s="24" t="s">
        <v>33</v>
      </c>
      <c r="C34" s="24" t="s">
        <v>34</v>
      </c>
      <c r="D34" s="25" t="s">
        <v>26</v>
      </c>
      <c r="E34" s="26">
        <v>4690</v>
      </c>
      <c r="F34" s="27">
        <v>44053</v>
      </c>
      <c r="G34" s="28">
        <f t="shared" si="0"/>
        <v>10</v>
      </c>
      <c r="H34" s="28">
        <f t="shared" si="1"/>
        <v>2020</v>
      </c>
      <c r="I34" s="29" t="str">
        <f t="shared" si="2"/>
        <v>Aug</v>
      </c>
      <c r="J34" s="29" t="str">
        <f>_xlfn.XLOOKUP(B34,Branch_Summary!A:A,Branch_Summary!B:B,"Not Found",0)</f>
        <v>Amman Main</v>
      </c>
      <c r="K34" s="29" t="str">
        <f>_xlfn.XLOOKUP(B34,Branch_Summary!A:A,Branch_Summary!C:C,"Not Found",0)</f>
        <v>Withdrawal</v>
      </c>
      <c r="L34" s="29" t="str">
        <f t="shared" si="3"/>
        <v>High Value</v>
      </c>
    </row>
    <row r="35" spans="1:12">
      <c r="A35" s="24">
        <v>10039</v>
      </c>
      <c r="B35" s="24" t="s">
        <v>33</v>
      </c>
      <c r="C35" s="24" t="s">
        <v>34</v>
      </c>
      <c r="D35" s="25" t="s">
        <v>26</v>
      </c>
      <c r="E35" s="26">
        <v>2501</v>
      </c>
      <c r="F35" s="27">
        <v>45286</v>
      </c>
      <c r="G35" s="28">
        <f t="shared" si="0"/>
        <v>26</v>
      </c>
      <c r="H35" s="28">
        <f t="shared" si="1"/>
        <v>2023</v>
      </c>
      <c r="I35" s="29" t="str">
        <f t="shared" si="2"/>
        <v>Dec</v>
      </c>
      <c r="J35" s="29" t="str">
        <f>_xlfn.XLOOKUP(B35,Branch_Summary!A:A,Branch_Summary!B:B,"Not Found",0)</f>
        <v>Amman Main</v>
      </c>
      <c r="K35" s="29" t="str">
        <f>_xlfn.XLOOKUP(B35,Branch_Summary!A:A,Branch_Summary!C:C,"Not Found",0)</f>
        <v>Withdrawal</v>
      </c>
      <c r="L35" s="29" t="str">
        <f t="shared" si="3"/>
        <v>Low Value</v>
      </c>
    </row>
    <row r="36" spans="1:12">
      <c r="A36" s="24">
        <v>10049</v>
      </c>
      <c r="B36" s="24" t="s">
        <v>33</v>
      </c>
      <c r="C36" s="24" t="s">
        <v>34</v>
      </c>
      <c r="D36" s="25" t="s">
        <v>21</v>
      </c>
      <c r="E36" s="26">
        <v>3342</v>
      </c>
      <c r="F36" s="27">
        <v>44358</v>
      </c>
      <c r="G36" s="28">
        <f t="shared" si="0"/>
        <v>11</v>
      </c>
      <c r="H36" s="28">
        <f t="shared" si="1"/>
        <v>2021</v>
      </c>
      <c r="I36" s="29" t="str">
        <f t="shared" si="2"/>
        <v>Jun</v>
      </c>
      <c r="J36" s="29" t="str">
        <f>_xlfn.XLOOKUP(B36,Branch_Summary!A:A,Branch_Summary!B:B,"Not Found",0)</f>
        <v>Amman Main</v>
      </c>
      <c r="K36" s="29" t="str">
        <f>_xlfn.XLOOKUP(B36,Branch_Summary!A:A,Branch_Summary!C:C,"Not Found",0)</f>
        <v>Withdrawal</v>
      </c>
      <c r="L36" s="29" t="str">
        <f t="shared" si="3"/>
        <v>Low Value</v>
      </c>
    </row>
    <row r="37" spans="1:12">
      <c r="A37" s="24">
        <v>10059</v>
      </c>
      <c r="B37" s="24" t="s">
        <v>33</v>
      </c>
      <c r="C37" s="24" t="s">
        <v>34</v>
      </c>
      <c r="D37" s="25" t="s">
        <v>26</v>
      </c>
      <c r="E37" s="26">
        <v>3334</v>
      </c>
      <c r="F37" s="27">
        <v>45397</v>
      </c>
      <c r="G37" s="28">
        <f t="shared" si="0"/>
        <v>15</v>
      </c>
      <c r="H37" s="28">
        <f t="shared" si="1"/>
        <v>2024</v>
      </c>
      <c r="I37" s="29" t="str">
        <f t="shared" si="2"/>
        <v>Apr</v>
      </c>
      <c r="J37" s="29" t="str">
        <f>_xlfn.XLOOKUP(B37,Branch_Summary!A:A,Branch_Summary!B:B,"Not Found",0)</f>
        <v>Amman Main</v>
      </c>
      <c r="K37" s="29" t="str">
        <f>_xlfn.XLOOKUP(B37,Branch_Summary!A:A,Branch_Summary!C:C,"Not Found",0)</f>
        <v>Withdrawal</v>
      </c>
      <c r="L37" s="29" t="str">
        <f t="shared" si="3"/>
        <v>Low Value</v>
      </c>
    </row>
    <row r="38" spans="1:12">
      <c r="A38" s="24">
        <v>10086</v>
      </c>
      <c r="B38" s="24" t="s">
        <v>33</v>
      </c>
      <c r="C38" s="24" t="s">
        <v>34</v>
      </c>
      <c r="D38" s="25" t="s">
        <v>37</v>
      </c>
      <c r="E38" s="26">
        <v>3255</v>
      </c>
      <c r="F38" s="27">
        <v>44149</v>
      </c>
      <c r="G38" s="28">
        <f t="shared" si="0"/>
        <v>14</v>
      </c>
      <c r="H38" s="28">
        <f t="shared" si="1"/>
        <v>2020</v>
      </c>
      <c r="I38" s="29" t="str">
        <f t="shared" si="2"/>
        <v>Nov</v>
      </c>
      <c r="J38" s="29" t="str">
        <f>_xlfn.XLOOKUP(B38,Branch_Summary!A:A,Branch_Summary!B:B,"Not Found",0)</f>
        <v>Amman Main</v>
      </c>
      <c r="K38" s="29" t="str">
        <f>_xlfn.XLOOKUP(B38,Branch_Summary!A:A,Branch_Summary!C:C,"Not Found",0)</f>
        <v>Withdrawal</v>
      </c>
      <c r="L38" s="29" t="str">
        <f t="shared" si="3"/>
        <v>Low Value</v>
      </c>
    </row>
    <row r="39" spans="1:12">
      <c r="A39" s="24">
        <v>10133</v>
      </c>
      <c r="B39" s="24" t="s">
        <v>33</v>
      </c>
      <c r="C39" s="24" t="s">
        <v>34</v>
      </c>
      <c r="D39" s="25" t="s">
        <v>21</v>
      </c>
      <c r="E39" s="26">
        <v>2424</v>
      </c>
      <c r="F39" s="27">
        <v>44494</v>
      </c>
      <c r="G39" s="28">
        <f t="shared" si="0"/>
        <v>25</v>
      </c>
      <c r="H39" s="28">
        <f t="shared" si="1"/>
        <v>2021</v>
      </c>
      <c r="I39" s="29" t="str">
        <f t="shared" si="2"/>
        <v>Oct</v>
      </c>
      <c r="J39" s="29" t="str">
        <f>_xlfn.XLOOKUP(B39,Branch_Summary!A:A,Branch_Summary!B:B,"Not Found",0)</f>
        <v>Amman Main</v>
      </c>
      <c r="K39" s="29" t="str">
        <f>_xlfn.XLOOKUP(B39,Branch_Summary!A:A,Branch_Summary!C:C,"Not Found",0)</f>
        <v>Withdrawal</v>
      </c>
      <c r="L39" s="29" t="str">
        <f t="shared" si="3"/>
        <v>Low Value</v>
      </c>
    </row>
    <row r="40" spans="1:12">
      <c r="A40" s="24">
        <v>10135</v>
      </c>
      <c r="B40" s="24" t="s">
        <v>33</v>
      </c>
      <c r="C40" s="24" t="s">
        <v>34</v>
      </c>
      <c r="D40" s="25" t="s">
        <v>26</v>
      </c>
      <c r="E40" s="26">
        <v>3043</v>
      </c>
      <c r="F40" s="27">
        <v>44995</v>
      </c>
      <c r="G40" s="28">
        <f t="shared" si="0"/>
        <v>10</v>
      </c>
      <c r="H40" s="28">
        <f t="shared" si="1"/>
        <v>2023</v>
      </c>
      <c r="I40" s="29" t="str">
        <f t="shared" si="2"/>
        <v>Mar</v>
      </c>
      <c r="J40" s="29" t="str">
        <f>_xlfn.XLOOKUP(B40,Branch_Summary!A:A,Branch_Summary!B:B,"Not Found",0)</f>
        <v>Amman Main</v>
      </c>
      <c r="K40" s="29" t="str">
        <f>_xlfn.XLOOKUP(B40,Branch_Summary!A:A,Branch_Summary!C:C,"Not Found",0)</f>
        <v>Withdrawal</v>
      </c>
      <c r="L40" s="29" t="str">
        <f t="shared" si="3"/>
        <v>Low Value</v>
      </c>
    </row>
    <row r="41" spans="1:12">
      <c r="A41" s="24">
        <v>10153</v>
      </c>
      <c r="B41" s="24" t="s">
        <v>33</v>
      </c>
      <c r="C41" s="24" t="s">
        <v>34</v>
      </c>
      <c r="D41" s="25" t="s">
        <v>21</v>
      </c>
      <c r="E41" s="26">
        <v>1951</v>
      </c>
      <c r="F41" s="27">
        <v>44810</v>
      </c>
      <c r="G41" s="28">
        <f t="shared" si="0"/>
        <v>6</v>
      </c>
      <c r="H41" s="28">
        <f t="shared" si="1"/>
        <v>2022</v>
      </c>
      <c r="I41" s="29" t="str">
        <f t="shared" si="2"/>
        <v>Sep</v>
      </c>
      <c r="J41" s="29" t="str">
        <f>_xlfn.XLOOKUP(B41,Branch_Summary!A:A,Branch_Summary!B:B,"Not Found",0)</f>
        <v>Amman Main</v>
      </c>
      <c r="K41" s="29" t="str">
        <f>_xlfn.XLOOKUP(B41,Branch_Summary!A:A,Branch_Summary!C:C,"Not Found",0)</f>
        <v>Withdrawal</v>
      </c>
      <c r="L41" s="29" t="str">
        <f t="shared" si="3"/>
        <v>Low Value</v>
      </c>
    </row>
    <row r="42" spans="1:12">
      <c r="A42" s="24">
        <v>10159</v>
      </c>
      <c r="B42" s="24" t="s">
        <v>33</v>
      </c>
      <c r="C42" s="24" t="s">
        <v>34</v>
      </c>
      <c r="D42" s="25" t="s">
        <v>26</v>
      </c>
      <c r="E42" s="26">
        <v>1424</v>
      </c>
      <c r="F42" s="27">
        <v>44536</v>
      </c>
      <c r="G42" s="28">
        <f t="shared" si="0"/>
        <v>6</v>
      </c>
      <c r="H42" s="28">
        <f t="shared" si="1"/>
        <v>2021</v>
      </c>
      <c r="I42" s="29" t="str">
        <f t="shared" si="2"/>
        <v>Dec</v>
      </c>
      <c r="J42" s="29" t="str">
        <f>_xlfn.XLOOKUP(B42,Branch_Summary!A:A,Branch_Summary!B:B,"Not Found",0)</f>
        <v>Amman Main</v>
      </c>
      <c r="K42" s="29" t="str">
        <f>_xlfn.XLOOKUP(B42,Branch_Summary!A:A,Branch_Summary!C:C,"Not Found",0)</f>
        <v>Withdrawal</v>
      </c>
      <c r="L42" s="29" t="str">
        <f t="shared" si="3"/>
        <v>Low Value</v>
      </c>
    </row>
    <row r="43" spans="1:12">
      <c r="A43" s="24">
        <v>10208</v>
      </c>
      <c r="B43" s="24" t="s">
        <v>33</v>
      </c>
      <c r="C43" s="24" t="s">
        <v>34</v>
      </c>
      <c r="D43" s="25" t="s">
        <v>37</v>
      </c>
      <c r="E43" s="26">
        <v>2362</v>
      </c>
      <c r="F43" s="27">
        <v>43694</v>
      </c>
      <c r="G43" s="28">
        <f t="shared" si="0"/>
        <v>17</v>
      </c>
      <c r="H43" s="28">
        <f t="shared" si="1"/>
        <v>2019</v>
      </c>
      <c r="I43" s="29" t="str">
        <f t="shared" si="2"/>
        <v>Aug</v>
      </c>
      <c r="J43" s="29" t="str">
        <f>_xlfn.XLOOKUP(B43,Branch_Summary!A:A,Branch_Summary!B:B,"Not Found",0)</f>
        <v>Amman Main</v>
      </c>
      <c r="K43" s="29" t="str">
        <f>_xlfn.XLOOKUP(B43,Branch_Summary!A:A,Branch_Summary!C:C,"Not Found",0)</f>
        <v>Withdrawal</v>
      </c>
      <c r="L43" s="29" t="str">
        <f t="shared" si="3"/>
        <v>Low Value</v>
      </c>
    </row>
    <row r="44" spans="1:12">
      <c r="A44" s="24">
        <v>10232</v>
      </c>
      <c r="B44" s="24" t="s">
        <v>33</v>
      </c>
      <c r="C44" s="24" t="s">
        <v>34</v>
      </c>
      <c r="D44" s="25" t="s">
        <v>21</v>
      </c>
      <c r="E44" s="26">
        <v>1877</v>
      </c>
      <c r="F44" s="27">
        <v>45628</v>
      </c>
      <c r="G44" s="28">
        <f t="shared" si="0"/>
        <v>2</v>
      </c>
      <c r="H44" s="28">
        <f t="shared" si="1"/>
        <v>2024</v>
      </c>
      <c r="I44" s="29" t="str">
        <f t="shared" si="2"/>
        <v>Dec</v>
      </c>
      <c r="J44" s="29" t="str">
        <f>_xlfn.XLOOKUP(B44,Branch_Summary!A:A,Branch_Summary!B:B,"Not Found",0)</f>
        <v>Amman Main</v>
      </c>
      <c r="K44" s="29" t="str">
        <f>_xlfn.XLOOKUP(B44,Branch_Summary!A:A,Branch_Summary!C:C,"Not Found",0)</f>
        <v>Withdrawal</v>
      </c>
      <c r="L44" s="29" t="str">
        <f t="shared" si="3"/>
        <v>Low Value</v>
      </c>
    </row>
    <row r="45" spans="1:12">
      <c r="A45" s="24">
        <v>10234</v>
      </c>
      <c r="B45" s="24" t="s">
        <v>33</v>
      </c>
      <c r="C45" s="24" t="s">
        <v>34</v>
      </c>
      <c r="D45" s="25" t="s">
        <v>26</v>
      </c>
      <c r="E45" s="26">
        <v>2613</v>
      </c>
      <c r="F45" s="27">
        <v>44204</v>
      </c>
      <c r="G45" s="28">
        <f t="shared" si="0"/>
        <v>8</v>
      </c>
      <c r="H45" s="28">
        <f t="shared" si="1"/>
        <v>2021</v>
      </c>
      <c r="I45" s="29" t="str">
        <f t="shared" si="2"/>
        <v>Jan</v>
      </c>
      <c r="J45" s="29" t="str">
        <f>_xlfn.XLOOKUP(B45,Branch_Summary!A:A,Branch_Summary!B:B,"Not Found",0)</f>
        <v>Amman Main</v>
      </c>
      <c r="K45" s="29" t="str">
        <f>_xlfn.XLOOKUP(B45,Branch_Summary!A:A,Branch_Summary!C:C,"Not Found",0)</f>
        <v>Withdrawal</v>
      </c>
      <c r="L45" s="29" t="str">
        <f t="shared" si="3"/>
        <v>Low Value</v>
      </c>
    </row>
    <row r="46" spans="1:12">
      <c r="A46" s="24">
        <v>10235</v>
      </c>
      <c r="B46" s="24" t="s">
        <v>33</v>
      </c>
      <c r="C46" s="24" t="s">
        <v>34</v>
      </c>
      <c r="D46" s="25" t="s">
        <v>37</v>
      </c>
      <c r="E46" s="26">
        <v>2980</v>
      </c>
      <c r="F46" s="27">
        <v>44830</v>
      </c>
      <c r="G46" s="28">
        <f t="shared" si="0"/>
        <v>26</v>
      </c>
      <c r="H46" s="28">
        <f t="shared" si="1"/>
        <v>2022</v>
      </c>
      <c r="I46" s="29" t="str">
        <f t="shared" si="2"/>
        <v>Sep</v>
      </c>
      <c r="J46" s="29" t="str">
        <f>_xlfn.XLOOKUP(B46,Branch_Summary!A:A,Branch_Summary!B:B,"Not Found",0)</f>
        <v>Amman Main</v>
      </c>
      <c r="K46" s="29" t="str">
        <f>_xlfn.XLOOKUP(B46,Branch_Summary!A:A,Branch_Summary!C:C,"Not Found",0)</f>
        <v>Withdrawal</v>
      </c>
      <c r="L46" s="29" t="str">
        <f t="shared" si="3"/>
        <v>Low Value</v>
      </c>
    </row>
    <row r="47" spans="1:12">
      <c r="A47" s="24">
        <v>10244</v>
      </c>
      <c r="B47" s="24" t="s">
        <v>33</v>
      </c>
      <c r="C47" s="24" t="s">
        <v>34</v>
      </c>
      <c r="D47" s="25" t="s">
        <v>26</v>
      </c>
      <c r="E47" s="26">
        <v>2951</v>
      </c>
      <c r="F47" s="27">
        <v>44421</v>
      </c>
      <c r="G47" s="28">
        <f t="shared" si="0"/>
        <v>13</v>
      </c>
      <c r="H47" s="28">
        <f t="shared" si="1"/>
        <v>2021</v>
      </c>
      <c r="I47" s="29" t="str">
        <f t="shared" si="2"/>
        <v>Aug</v>
      </c>
      <c r="J47" s="29" t="str">
        <f>_xlfn.XLOOKUP(B47,Branch_Summary!A:A,Branch_Summary!B:B,"Not Found",0)</f>
        <v>Amman Main</v>
      </c>
      <c r="K47" s="29" t="str">
        <f>_xlfn.XLOOKUP(B47,Branch_Summary!A:A,Branch_Summary!C:C,"Not Found",0)</f>
        <v>Withdrawal</v>
      </c>
      <c r="L47" s="29" t="str">
        <f t="shared" si="3"/>
        <v>Low Value</v>
      </c>
    </row>
    <row r="48" spans="1:12">
      <c r="A48" s="24">
        <v>10017</v>
      </c>
      <c r="B48" s="24" t="s">
        <v>29</v>
      </c>
      <c r="C48" s="24" t="s">
        <v>30</v>
      </c>
      <c r="D48" s="25" t="s">
        <v>26</v>
      </c>
      <c r="E48" s="26">
        <v>4520</v>
      </c>
      <c r="F48" s="27">
        <v>43829</v>
      </c>
      <c r="G48" s="28">
        <f t="shared" si="0"/>
        <v>30</v>
      </c>
      <c r="H48" s="28">
        <f t="shared" si="1"/>
        <v>2019</v>
      </c>
      <c r="I48" s="29" t="str">
        <f t="shared" si="2"/>
        <v>Dec</v>
      </c>
      <c r="J48" s="29" t="str">
        <f>_xlfn.XLOOKUP(B48,Branch_Summary!A:A,Branch_Summary!B:B,"Not Found",0)</f>
        <v>Amman Main</v>
      </c>
      <c r="K48" s="29" t="str">
        <f>_xlfn.XLOOKUP(B48,Branch_Summary!A:A,Branch_Summary!C:C,"Not Found",0)</f>
        <v>Withdrawal</v>
      </c>
      <c r="L48" s="29" t="str">
        <f t="shared" si="3"/>
        <v>High Value</v>
      </c>
    </row>
    <row r="49" spans="1:12">
      <c r="A49" s="24">
        <v>10025</v>
      </c>
      <c r="B49" s="24" t="s">
        <v>29</v>
      </c>
      <c r="C49" s="24" t="s">
        <v>30</v>
      </c>
      <c r="D49" s="25" t="s">
        <v>26</v>
      </c>
      <c r="E49" s="26">
        <v>1345</v>
      </c>
      <c r="F49" s="27">
        <v>43950</v>
      </c>
      <c r="G49" s="28">
        <f t="shared" si="0"/>
        <v>29</v>
      </c>
      <c r="H49" s="28">
        <f t="shared" si="1"/>
        <v>2020</v>
      </c>
      <c r="I49" s="29" t="str">
        <f t="shared" si="2"/>
        <v>Apr</v>
      </c>
      <c r="J49" s="29" t="str">
        <f>_xlfn.XLOOKUP(B49,Branch_Summary!A:A,Branch_Summary!B:B,"Not Found",0)</f>
        <v>Amman Main</v>
      </c>
      <c r="K49" s="29" t="str">
        <f>_xlfn.XLOOKUP(B49,Branch_Summary!A:A,Branch_Summary!C:C,"Not Found",0)</f>
        <v>Withdrawal</v>
      </c>
      <c r="L49" s="29" t="str">
        <f t="shared" si="3"/>
        <v>Low Value</v>
      </c>
    </row>
    <row r="50" spans="1:12">
      <c r="A50" s="24">
        <v>10034</v>
      </c>
      <c r="B50" s="24" t="s">
        <v>29</v>
      </c>
      <c r="C50" s="24" t="s">
        <v>30</v>
      </c>
      <c r="D50" s="25" t="s">
        <v>39</v>
      </c>
      <c r="E50" s="26">
        <v>913</v>
      </c>
      <c r="F50" s="27">
        <v>43746</v>
      </c>
      <c r="G50" s="28">
        <f t="shared" si="0"/>
        <v>8</v>
      </c>
      <c r="H50" s="28">
        <f t="shared" si="1"/>
        <v>2019</v>
      </c>
      <c r="I50" s="29" t="str">
        <f t="shared" si="2"/>
        <v>Oct</v>
      </c>
      <c r="J50" s="29" t="str">
        <f>_xlfn.XLOOKUP(B50,Branch_Summary!A:A,Branch_Summary!B:B,"Not Found",0)</f>
        <v>Amman Main</v>
      </c>
      <c r="K50" s="29" t="str">
        <f>_xlfn.XLOOKUP(B50,Branch_Summary!A:A,Branch_Summary!C:C,"Not Found",0)</f>
        <v>Withdrawal</v>
      </c>
      <c r="L50" s="29" t="str">
        <f t="shared" si="3"/>
        <v>Low Value</v>
      </c>
    </row>
    <row r="51" spans="1:12">
      <c r="A51" s="24">
        <v>10042</v>
      </c>
      <c r="B51" s="24" t="s">
        <v>29</v>
      </c>
      <c r="C51" s="24" t="s">
        <v>30</v>
      </c>
      <c r="D51" s="25" t="s">
        <v>37</v>
      </c>
      <c r="E51" s="26">
        <v>4480</v>
      </c>
      <c r="F51" s="27">
        <v>44505</v>
      </c>
      <c r="G51" s="28">
        <f t="shared" si="0"/>
        <v>5</v>
      </c>
      <c r="H51" s="28">
        <f t="shared" si="1"/>
        <v>2021</v>
      </c>
      <c r="I51" s="29" t="str">
        <f t="shared" si="2"/>
        <v>Nov</v>
      </c>
      <c r="J51" s="29" t="str">
        <f>_xlfn.XLOOKUP(B51,Branch_Summary!A:A,Branch_Summary!B:B,"Not Found",0)</f>
        <v>Amman Main</v>
      </c>
      <c r="K51" s="29" t="str">
        <f>_xlfn.XLOOKUP(B51,Branch_Summary!A:A,Branch_Summary!C:C,"Not Found",0)</f>
        <v>Withdrawal</v>
      </c>
      <c r="L51" s="29" t="str">
        <f t="shared" si="3"/>
        <v>High Value</v>
      </c>
    </row>
    <row r="52" spans="1:12">
      <c r="A52" s="24">
        <v>10050</v>
      </c>
      <c r="B52" s="24" t="s">
        <v>29</v>
      </c>
      <c r="C52" s="24" t="s">
        <v>30</v>
      </c>
      <c r="D52" s="25" t="s">
        <v>21</v>
      </c>
      <c r="E52" s="26">
        <v>3982</v>
      </c>
      <c r="F52" s="27">
        <v>45120</v>
      </c>
      <c r="G52" s="28">
        <f t="shared" si="0"/>
        <v>13</v>
      </c>
      <c r="H52" s="28">
        <f t="shared" si="1"/>
        <v>2023</v>
      </c>
      <c r="I52" s="29" t="str">
        <f t="shared" si="2"/>
        <v>Jul</v>
      </c>
      <c r="J52" s="29" t="str">
        <f>_xlfn.XLOOKUP(B52,Branch_Summary!A:A,Branch_Summary!B:B,"Not Found",0)</f>
        <v>Amman Main</v>
      </c>
      <c r="K52" s="29" t="str">
        <f>_xlfn.XLOOKUP(B52,Branch_Summary!A:A,Branch_Summary!C:C,"Not Found",0)</f>
        <v>Withdrawal</v>
      </c>
      <c r="L52" s="29" t="str">
        <f t="shared" si="3"/>
        <v>Low Value</v>
      </c>
    </row>
    <row r="53" spans="1:12">
      <c r="A53" s="24">
        <v>10054</v>
      </c>
      <c r="B53" s="24" t="s">
        <v>29</v>
      </c>
      <c r="C53" s="24" t="s">
        <v>30</v>
      </c>
      <c r="D53" s="25" t="s">
        <v>21</v>
      </c>
      <c r="E53" s="26">
        <v>2262</v>
      </c>
      <c r="F53" s="27">
        <v>44225</v>
      </c>
      <c r="G53" s="28">
        <f t="shared" si="0"/>
        <v>29</v>
      </c>
      <c r="H53" s="28">
        <f t="shared" si="1"/>
        <v>2021</v>
      </c>
      <c r="I53" s="29" t="str">
        <f t="shared" si="2"/>
        <v>Jan</v>
      </c>
      <c r="J53" s="29" t="str">
        <f>_xlfn.XLOOKUP(B53,Branch_Summary!A:A,Branch_Summary!B:B,"Not Found",0)</f>
        <v>Amman Main</v>
      </c>
      <c r="K53" s="29" t="str">
        <f>_xlfn.XLOOKUP(B53,Branch_Summary!A:A,Branch_Summary!C:C,"Not Found",0)</f>
        <v>Withdrawal</v>
      </c>
      <c r="L53" s="29" t="str">
        <f t="shared" si="3"/>
        <v>Low Value</v>
      </c>
    </row>
    <row r="54" spans="1:12">
      <c r="A54" s="24">
        <v>10057</v>
      </c>
      <c r="B54" s="24" t="s">
        <v>29</v>
      </c>
      <c r="C54" s="24" t="s">
        <v>30</v>
      </c>
      <c r="D54" s="25" t="s">
        <v>26</v>
      </c>
      <c r="E54" s="26">
        <v>2205</v>
      </c>
      <c r="F54" s="27">
        <v>43550</v>
      </c>
      <c r="G54" s="28">
        <f t="shared" si="0"/>
        <v>26</v>
      </c>
      <c r="H54" s="28">
        <f t="shared" si="1"/>
        <v>2019</v>
      </c>
      <c r="I54" s="29" t="str">
        <f t="shared" si="2"/>
        <v>Mar</v>
      </c>
      <c r="J54" s="29" t="str">
        <f>_xlfn.XLOOKUP(B54,Branch_Summary!A:A,Branch_Summary!B:B,"Not Found",0)</f>
        <v>Amman Main</v>
      </c>
      <c r="K54" s="29" t="str">
        <f>_xlfn.XLOOKUP(B54,Branch_Summary!A:A,Branch_Summary!C:C,"Not Found",0)</f>
        <v>Withdrawal</v>
      </c>
      <c r="L54" s="29" t="str">
        <f t="shared" si="3"/>
        <v>Low Value</v>
      </c>
    </row>
    <row r="55" spans="1:12">
      <c r="A55" s="24">
        <v>10063</v>
      </c>
      <c r="B55" s="24" t="s">
        <v>29</v>
      </c>
      <c r="C55" s="24" t="s">
        <v>30</v>
      </c>
      <c r="D55" s="25" t="s">
        <v>21</v>
      </c>
      <c r="E55" s="26">
        <v>3183</v>
      </c>
      <c r="F55" s="27">
        <v>44318</v>
      </c>
      <c r="G55" s="28">
        <f t="shared" si="0"/>
        <v>2</v>
      </c>
      <c r="H55" s="28">
        <f t="shared" si="1"/>
        <v>2021</v>
      </c>
      <c r="I55" s="29" t="str">
        <f t="shared" si="2"/>
        <v>May</v>
      </c>
      <c r="J55" s="29" t="str">
        <f>_xlfn.XLOOKUP(B55,Branch_Summary!A:A,Branch_Summary!B:B,"Not Found",0)</f>
        <v>Amman Main</v>
      </c>
      <c r="K55" s="29" t="str">
        <f>_xlfn.XLOOKUP(B55,Branch_Summary!A:A,Branch_Summary!C:C,"Not Found",0)</f>
        <v>Withdrawal</v>
      </c>
      <c r="L55" s="29" t="str">
        <f t="shared" si="3"/>
        <v>Low Value</v>
      </c>
    </row>
    <row r="56" spans="1:12">
      <c r="A56" s="24">
        <v>10072</v>
      </c>
      <c r="B56" s="24" t="s">
        <v>29</v>
      </c>
      <c r="C56" s="24" t="s">
        <v>30</v>
      </c>
      <c r="D56" s="25" t="s">
        <v>37</v>
      </c>
      <c r="E56" s="26">
        <v>449</v>
      </c>
      <c r="F56" s="27">
        <v>43485</v>
      </c>
      <c r="G56" s="28">
        <f t="shared" si="0"/>
        <v>20</v>
      </c>
      <c r="H56" s="28">
        <f t="shared" si="1"/>
        <v>2019</v>
      </c>
      <c r="I56" s="29" t="str">
        <f t="shared" si="2"/>
        <v>Jan</v>
      </c>
      <c r="J56" s="29" t="str">
        <f>_xlfn.XLOOKUP(B56,Branch_Summary!A:A,Branch_Summary!B:B,"Not Found",0)</f>
        <v>Amman Main</v>
      </c>
      <c r="K56" s="29" t="str">
        <f>_xlfn.XLOOKUP(B56,Branch_Summary!A:A,Branch_Summary!C:C,"Not Found",0)</f>
        <v>Withdrawal</v>
      </c>
      <c r="L56" s="29" t="str">
        <f t="shared" si="3"/>
        <v>Low Value</v>
      </c>
    </row>
    <row r="57" spans="1:12">
      <c r="A57" s="24">
        <v>10090</v>
      </c>
      <c r="B57" s="24" t="s">
        <v>29</v>
      </c>
      <c r="C57" s="24" t="s">
        <v>30</v>
      </c>
      <c r="D57" s="25" t="s">
        <v>26</v>
      </c>
      <c r="E57" s="26">
        <v>4503</v>
      </c>
      <c r="F57" s="27">
        <v>45607</v>
      </c>
      <c r="G57" s="28">
        <f t="shared" si="0"/>
        <v>11</v>
      </c>
      <c r="H57" s="28">
        <f t="shared" si="1"/>
        <v>2024</v>
      </c>
      <c r="I57" s="29" t="str">
        <f t="shared" si="2"/>
        <v>Nov</v>
      </c>
      <c r="J57" s="29" t="str">
        <f>_xlfn.XLOOKUP(B57,Branch_Summary!A:A,Branch_Summary!B:B,"Not Found",0)</f>
        <v>Amman Main</v>
      </c>
      <c r="K57" s="29" t="str">
        <f>_xlfn.XLOOKUP(B57,Branch_Summary!A:A,Branch_Summary!C:C,"Not Found",0)</f>
        <v>Withdrawal</v>
      </c>
      <c r="L57" s="29" t="str">
        <f t="shared" si="3"/>
        <v>High Value</v>
      </c>
    </row>
    <row r="58" spans="1:12">
      <c r="A58" s="24">
        <v>10092</v>
      </c>
      <c r="B58" s="24" t="s">
        <v>29</v>
      </c>
      <c r="C58" s="24" t="s">
        <v>30</v>
      </c>
      <c r="D58" s="25" t="s">
        <v>21</v>
      </c>
      <c r="E58" s="26">
        <v>2689</v>
      </c>
      <c r="F58" s="27">
        <v>44219</v>
      </c>
      <c r="G58" s="28">
        <f t="shared" si="0"/>
        <v>23</v>
      </c>
      <c r="H58" s="28">
        <f t="shared" si="1"/>
        <v>2021</v>
      </c>
      <c r="I58" s="29" t="str">
        <f t="shared" si="2"/>
        <v>Jan</v>
      </c>
      <c r="J58" s="29" t="str">
        <f>_xlfn.XLOOKUP(B58,Branch_Summary!A:A,Branch_Summary!B:B,"Not Found",0)</f>
        <v>Amman Main</v>
      </c>
      <c r="K58" s="29" t="str">
        <f>_xlfn.XLOOKUP(B58,Branch_Summary!A:A,Branch_Summary!C:C,"Not Found",0)</f>
        <v>Withdrawal</v>
      </c>
      <c r="L58" s="29" t="str">
        <f t="shared" si="3"/>
        <v>Low Value</v>
      </c>
    </row>
    <row r="59" spans="1:12">
      <c r="A59" s="24">
        <v>10116</v>
      </c>
      <c r="B59" s="24" t="s">
        <v>29</v>
      </c>
      <c r="C59" s="24" t="s">
        <v>30</v>
      </c>
      <c r="D59" s="25" t="s">
        <v>26</v>
      </c>
      <c r="E59" s="26">
        <v>2345</v>
      </c>
      <c r="F59" s="27">
        <v>45139</v>
      </c>
      <c r="G59" s="28">
        <f t="shared" si="0"/>
        <v>1</v>
      </c>
      <c r="H59" s="28">
        <f t="shared" si="1"/>
        <v>2023</v>
      </c>
      <c r="I59" s="29" t="str">
        <f t="shared" si="2"/>
        <v>Aug</v>
      </c>
      <c r="J59" s="29" t="str">
        <f>_xlfn.XLOOKUP(B59,Branch_Summary!A:A,Branch_Summary!B:B,"Not Found",0)</f>
        <v>Amman Main</v>
      </c>
      <c r="K59" s="29" t="str">
        <f>_xlfn.XLOOKUP(B59,Branch_Summary!A:A,Branch_Summary!C:C,"Not Found",0)</f>
        <v>Withdrawal</v>
      </c>
      <c r="L59" s="29" t="str">
        <f t="shared" si="3"/>
        <v>Low Value</v>
      </c>
    </row>
    <row r="60" spans="1:12">
      <c r="A60" s="24">
        <v>10120</v>
      </c>
      <c r="B60" s="24" t="s">
        <v>29</v>
      </c>
      <c r="C60" s="24" t="s">
        <v>30</v>
      </c>
      <c r="D60" s="25" t="s">
        <v>37</v>
      </c>
      <c r="E60" s="26">
        <v>3677</v>
      </c>
      <c r="F60" s="27">
        <v>44509</v>
      </c>
      <c r="G60" s="28">
        <f t="shared" si="0"/>
        <v>9</v>
      </c>
      <c r="H60" s="28">
        <f t="shared" si="1"/>
        <v>2021</v>
      </c>
      <c r="I60" s="29" t="str">
        <f t="shared" si="2"/>
        <v>Nov</v>
      </c>
      <c r="J60" s="29" t="str">
        <f>_xlfn.XLOOKUP(B60,Branch_Summary!A:A,Branch_Summary!B:B,"Not Found",0)</f>
        <v>Amman Main</v>
      </c>
      <c r="K60" s="29" t="str">
        <f>_xlfn.XLOOKUP(B60,Branch_Summary!A:A,Branch_Summary!C:C,"Not Found",0)</f>
        <v>Withdrawal</v>
      </c>
      <c r="L60" s="29" t="str">
        <f t="shared" si="3"/>
        <v>Low Value</v>
      </c>
    </row>
    <row r="61" spans="1:12">
      <c r="A61" s="24">
        <v>10136</v>
      </c>
      <c r="B61" s="24" t="s">
        <v>29</v>
      </c>
      <c r="C61" s="24" t="s">
        <v>30</v>
      </c>
      <c r="D61" s="25" t="s">
        <v>37</v>
      </c>
      <c r="E61" s="26">
        <v>2061</v>
      </c>
      <c r="F61" s="27">
        <v>45104</v>
      </c>
      <c r="G61" s="28">
        <f t="shared" si="0"/>
        <v>27</v>
      </c>
      <c r="H61" s="28">
        <f t="shared" si="1"/>
        <v>2023</v>
      </c>
      <c r="I61" s="29" t="str">
        <f t="shared" si="2"/>
        <v>Jun</v>
      </c>
      <c r="J61" s="29" t="str">
        <f>_xlfn.XLOOKUP(B61,Branch_Summary!A:A,Branch_Summary!B:B,"Not Found",0)</f>
        <v>Amman Main</v>
      </c>
      <c r="K61" s="29" t="str">
        <f>_xlfn.XLOOKUP(B61,Branch_Summary!A:A,Branch_Summary!C:C,"Not Found",0)</f>
        <v>Withdrawal</v>
      </c>
      <c r="L61" s="29" t="str">
        <f t="shared" si="3"/>
        <v>Low Value</v>
      </c>
    </row>
    <row r="62" spans="1:12">
      <c r="A62" s="24">
        <v>10150</v>
      </c>
      <c r="B62" s="24" t="s">
        <v>29</v>
      </c>
      <c r="C62" s="24" t="s">
        <v>30</v>
      </c>
      <c r="D62" s="25" t="s">
        <v>26</v>
      </c>
      <c r="E62" s="26">
        <v>3506</v>
      </c>
      <c r="F62" s="27">
        <v>44746</v>
      </c>
      <c r="G62" s="28">
        <f t="shared" si="0"/>
        <v>4</v>
      </c>
      <c r="H62" s="28">
        <f t="shared" si="1"/>
        <v>2022</v>
      </c>
      <c r="I62" s="29" t="str">
        <f t="shared" si="2"/>
        <v>Jul</v>
      </c>
      <c r="J62" s="29" t="str">
        <f>_xlfn.XLOOKUP(B62,Branch_Summary!A:A,Branch_Summary!B:B,"Not Found",0)</f>
        <v>Amman Main</v>
      </c>
      <c r="K62" s="29" t="str">
        <f>_xlfn.XLOOKUP(B62,Branch_Summary!A:A,Branch_Summary!C:C,"Not Found",0)</f>
        <v>Withdrawal</v>
      </c>
      <c r="L62" s="29" t="str">
        <f t="shared" si="3"/>
        <v>Low Value</v>
      </c>
    </row>
    <row r="63" spans="1:12">
      <c r="A63" s="24">
        <v>10156</v>
      </c>
      <c r="B63" s="24" t="s">
        <v>29</v>
      </c>
      <c r="C63" s="24" t="s">
        <v>30</v>
      </c>
      <c r="D63" s="25" t="s">
        <v>26</v>
      </c>
      <c r="E63" s="26">
        <v>3591</v>
      </c>
      <c r="F63" s="27">
        <v>44509</v>
      </c>
      <c r="G63" s="28">
        <f t="shared" si="0"/>
        <v>9</v>
      </c>
      <c r="H63" s="28">
        <f t="shared" si="1"/>
        <v>2021</v>
      </c>
      <c r="I63" s="29" t="str">
        <f t="shared" si="2"/>
        <v>Nov</v>
      </c>
      <c r="J63" s="29" t="str">
        <f>_xlfn.XLOOKUP(B63,Branch_Summary!A:A,Branch_Summary!B:B,"Not Found",0)</f>
        <v>Amman Main</v>
      </c>
      <c r="K63" s="29" t="str">
        <f>_xlfn.XLOOKUP(B63,Branch_Summary!A:A,Branch_Summary!C:C,"Not Found",0)</f>
        <v>Withdrawal</v>
      </c>
      <c r="L63" s="29" t="str">
        <f t="shared" si="3"/>
        <v>Low Value</v>
      </c>
    </row>
    <row r="64" spans="1:12">
      <c r="A64" s="24">
        <v>10161</v>
      </c>
      <c r="B64" s="24" t="s">
        <v>29</v>
      </c>
      <c r="C64" s="24" t="s">
        <v>30</v>
      </c>
      <c r="D64" s="25" t="s">
        <v>37</v>
      </c>
      <c r="E64" s="26">
        <v>938</v>
      </c>
      <c r="F64" s="27">
        <v>45617</v>
      </c>
      <c r="G64" s="28">
        <f t="shared" si="0"/>
        <v>21</v>
      </c>
      <c r="H64" s="28">
        <f t="shared" si="1"/>
        <v>2024</v>
      </c>
      <c r="I64" s="29" t="str">
        <f t="shared" si="2"/>
        <v>Nov</v>
      </c>
      <c r="J64" s="29" t="str">
        <f>_xlfn.XLOOKUP(B64,Branch_Summary!A:A,Branch_Summary!B:B,"Not Found",0)</f>
        <v>Amman Main</v>
      </c>
      <c r="K64" s="29" t="str">
        <f>_xlfn.XLOOKUP(B64,Branch_Summary!A:A,Branch_Summary!C:C,"Not Found",0)</f>
        <v>Withdrawal</v>
      </c>
      <c r="L64" s="29" t="str">
        <f t="shared" si="3"/>
        <v>Low Value</v>
      </c>
    </row>
    <row r="65" spans="1:12">
      <c r="A65" s="24">
        <v>10165</v>
      </c>
      <c r="B65" s="24" t="s">
        <v>29</v>
      </c>
      <c r="C65" s="24" t="s">
        <v>30</v>
      </c>
      <c r="D65" s="25" t="s">
        <v>21</v>
      </c>
      <c r="E65" s="26">
        <v>3848</v>
      </c>
      <c r="F65" s="27">
        <v>45256</v>
      </c>
      <c r="G65" s="28">
        <f t="shared" si="0"/>
        <v>26</v>
      </c>
      <c r="H65" s="28">
        <f t="shared" si="1"/>
        <v>2023</v>
      </c>
      <c r="I65" s="29" t="str">
        <f t="shared" si="2"/>
        <v>Nov</v>
      </c>
      <c r="J65" s="29" t="str">
        <f>_xlfn.XLOOKUP(B65,Branch_Summary!A:A,Branch_Summary!B:B,"Not Found",0)</f>
        <v>Amman Main</v>
      </c>
      <c r="K65" s="29" t="str">
        <f>_xlfn.XLOOKUP(B65,Branch_Summary!A:A,Branch_Summary!C:C,"Not Found",0)</f>
        <v>Withdrawal</v>
      </c>
      <c r="L65" s="29" t="str">
        <f t="shared" si="3"/>
        <v>Low Value</v>
      </c>
    </row>
    <row r="66" spans="1:12">
      <c r="A66" s="24">
        <v>10173</v>
      </c>
      <c r="B66" s="24" t="s">
        <v>29</v>
      </c>
      <c r="C66" s="24" t="s">
        <v>30</v>
      </c>
      <c r="D66" s="25" t="s">
        <v>26</v>
      </c>
      <c r="E66" s="26">
        <v>3539</v>
      </c>
      <c r="F66" s="27">
        <v>45124</v>
      </c>
      <c r="G66" s="28">
        <f t="shared" ref="G66:G129" si="4">DAY(F66)</f>
        <v>17</v>
      </c>
      <c r="H66" s="28">
        <f t="shared" ref="H66:H129" si="5">YEAR(F66)</f>
        <v>2023</v>
      </c>
      <c r="I66" s="29" t="str">
        <f t="shared" ref="I66:I129" si="6">TEXT(F66,"mmm")</f>
        <v>Jul</v>
      </c>
      <c r="J66" s="29" t="str">
        <f>_xlfn.XLOOKUP(B66,Branch_Summary!A:A,Branch_Summary!B:B,"Not Found",0)</f>
        <v>Amman Main</v>
      </c>
      <c r="K66" s="29" t="str">
        <f>_xlfn.XLOOKUP(B66,Branch_Summary!A:A,Branch_Summary!C:C,"Not Found",0)</f>
        <v>Withdrawal</v>
      </c>
      <c r="L66" s="29" t="str">
        <f t="shared" si="3"/>
        <v>Low Value</v>
      </c>
    </row>
    <row r="67" spans="1:12">
      <c r="A67" s="24">
        <v>10188</v>
      </c>
      <c r="B67" s="24" t="s">
        <v>29</v>
      </c>
      <c r="C67" s="24" t="s">
        <v>30</v>
      </c>
      <c r="D67" s="25" t="s">
        <v>37</v>
      </c>
      <c r="E67" s="26">
        <v>4265</v>
      </c>
      <c r="F67" s="27">
        <v>43615</v>
      </c>
      <c r="G67" s="28">
        <f t="shared" si="4"/>
        <v>30</v>
      </c>
      <c r="H67" s="28">
        <f t="shared" si="5"/>
        <v>2019</v>
      </c>
      <c r="I67" s="29" t="str">
        <f t="shared" si="6"/>
        <v>May</v>
      </c>
      <c r="J67" s="29" t="str">
        <f>_xlfn.XLOOKUP(B67,Branch_Summary!A:A,Branch_Summary!B:B,"Not Found",0)</f>
        <v>Amman Main</v>
      </c>
      <c r="K67" s="29" t="str">
        <f>_xlfn.XLOOKUP(B67,Branch_Summary!A:A,Branch_Summary!C:C,"Not Found",0)</f>
        <v>Withdrawal</v>
      </c>
      <c r="L67" s="29" t="str">
        <f t="shared" ref="L67:L130" si="7">IF(E67&gt;4000,"High Value","Low Value")</f>
        <v>High Value</v>
      </c>
    </row>
    <row r="68" spans="1:12">
      <c r="A68" s="24">
        <v>10195</v>
      </c>
      <c r="B68" s="24" t="s">
        <v>29</v>
      </c>
      <c r="C68" s="24" t="s">
        <v>30</v>
      </c>
      <c r="D68" s="25" t="s">
        <v>37</v>
      </c>
      <c r="E68" s="26">
        <v>1132</v>
      </c>
      <c r="F68" s="27">
        <v>44034</v>
      </c>
      <c r="G68" s="28">
        <f t="shared" si="4"/>
        <v>22</v>
      </c>
      <c r="H68" s="28">
        <f t="shared" si="5"/>
        <v>2020</v>
      </c>
      <c r="I68" s="29" t="str">
        <f t="shared" si="6"/>
        <v>Jul</v>
      </c>
      <c r="J68" s="29" t="str">
        <f>_xlfn.XLOOKUP(B68,Branch_Summary!A:A,Branch_Summary!B:B,"Not Found",0)</f>
        <v>Amman Main</v>
      </c>
      <c r="K68" s="29" t="str">
        <f>_xlfn.XLOOKUP(B68,Branch_Summary!A:A,Branch_Summary!C:C,"Not Found",0)</f>
        <v>Withdrawal</v>
      </c>
      <c r="L68" s="29" t="str">
        <f t="shared" si="7"/>
        <v>Low Value</v>
      </c>
    </row>
    <row r="69" spans="1:12">
      <c r="A69" s="24">
        <v>10203</v>
      </c>
      <c r="B69" s="24" t="s">
        <v>29</v>
      </c>
      <c r="C69" s="24" t="s">
        <v>30</v>
      </c>
      <c r="D69" s="25" t="s">
        <v>26</v>
      </c>
      <c r="E69" s="26">
        <v>3063</v>
      </c>
      <c r="F69" s="27">
        <v>44735</v>
      </c>
      <c r="G69" s="28">
        <f t="shared" si="4"/>
        <v>23</v>
      </c>
      <c r="H69" s="28">
        <f t="shared" si="5"/>
        <v>2022</v>
      </c>
      <c r="I69" s="29" t="str">
        <f t="shared" si="6"/>
        <v>Jun</v>
      </c>
      <c r="J69" s="29" t="str">
        <f>_xlfn.XLOOKUP(B69,Branch_Summary!A:A,Branch_Summary!B:B,"Not Found",0)</f>
        <v>Amman Main</v>
      </c>
      <c r="K69" s="29" t="str">
        <f>_xlfn.XLOOKUP(B69,Branch_Summary!A:A,Branch_Summary!C:C,"Not Found",0)</f>
        <v>Withdrawal</v>
      </c>
      <c r="L69" s="29" t="str">
        <f t="shared" si="7"/>
        <v>Low Value</v>
      </c>
    </row>
    <row r="70" spans="1:12">
      <c r="A70" s="24">
        <v>10205</v>
      </c>
      <c r="B70" s="24" t="s">
        <v>29</v>
      </c>
      <c r="C70" s="24" t="s">
        <v>30</v>
      </c>
      <c r="D70" s="25" t="s">
        <v>26</v>
      </c>
      <c r="E70" s="26">
        <v>3253</v>
      </c>
      <c r="F70" s="27">
        <v>44555</v>
      </c>
      <c r="G70" s="28">
        <f t="shared" si="4"/>
        <v>25</v>
      </c>
      <c r="H70" s="28">
        <f t="shared" si="5"/>
        <v>2021</v>
      </c>
      <c r="I70" s="29" t="str">
        <f t="shared" si="6"/>
        <v>Dec</v>
      </c>
      <c r="J70" s="29" t="str">
        <f>_xlfn.XLOOKUP(B70,Branch_Summary!A:A,Branch_Summary!B:B,"Not Found",0)</f>
        <v>Amman Main</v>
      </c>
      <c r="K70" s="29" t="str">
        <f>_xlfn.XLOOKUP(B70,Branch_Summary!A:A,Branch_Summary!C:C,"Not Found",0)</f>
        <v>Withdrawal</v>
      </c>
      <c r="L70" s="29" t="str">
        <f t="shared" si="7"/>
        <v>Low Value</v>
      </c>
    </row>
    <row r="71" spans="1:12">
      <c r="A71" s="24">
        <v>10219</v>
      </c>
      <c r="B71" s="24" t="s">
        <v>29</v>
      </c>
      <c r="C71" s="24" t="s">
        <v>30</v>
      </c>
      <c r="D71" s="25" t="s">
        <v>21</v>
      </c>
      <c r="E71" s="26">
        <v>4437</v>
      </c>
      <c r="F71" s="27">
        <v>45302</v>
      </c>
      <c r="G71" s="28">
        <f t="shared" si="4"/>
        <v>11</v>
      </c>
      <c r="H71" s="28">
        <f t="shared" si="5"/>
        <v>2024</v>
      </c>
      <c r="I71" s="29" t="str">
        <f t="shared" si="6"/>
        <v>Jan</v>
      </c>
      <c r="J71" s="29" t="str">
        <f>_xlfn.XLOOKUP(B71,Branch_Summary!A:A,Branch_Summary!B:B,"Not Found",0)</f>
        <v>Amman Main</v>
      </c>
      <c r="K71" s="29" t="str">
        <f>_xlfn.XLOOKUP(B71,Branch_Summary!A:A,Branch_Summary!C:C,"Not Found",0)</f>
        <v>Withdrawal</v>
      </c>
      <c r="L71" s="29" t="str">
        <f t="shared" si="7"/>
        <v>High Value</v>
      </c>
    </row>
    <row r="72" spans="1:12">
      <c r="A72" s="24">
        <v>10226</v>
      </c>
      <c r="B72" s="24" t="s">
        <v>29</v>
      </c>
      <c r="C72" s="24" t="s">
        <v>30</v>
      </c>
      <c r="D72" s="25" t="s">
        <v>21</v>
      </c>
      <c r="E72" s="26">
        <v>3115</v>
      </c>
      <c r="F72" s="27">
        <v>45011</v>
      </c>
      <c r="G72" s="28">
        <f t="shared" si="4"/>
        <v>26</v>
      </c>
      <c r="H72" s="28">
        <f t="shared" si="5"/>
        <v>2023</v>
      </c>
      <c r="I72" s="29" t="str">
        <f t="shared" si="6"/>
        <v>Mar</v>
      </c>
      <c r="J72" s="29" t="str">
        <f>_xlfn.XLOOKUP(B72,Branch_Summary!A:A,Branch_Summary!B:B,"Not Found",0)</f>
        <v>Amman Main</v>
      </c>
      <c r="K72" s="29" t="str">
        <f>_xlfn.XLOOKUP(B72,Branch_Summary!A:A,Branch_Summary!C:C,"Not Found",0)</f>
        <v>Withdrawal</v>
      </c>
      <c r="L72" s="29" t="str">
        <f t="shared" si="7"/>
        <v>Low Value</v>
      </c>
    </row>
    <row r="73" spans="1:12">
      <c r="A73" s="24">
        <v>10237</v>
      </c>
      <c r="B73" s="24" t="s">
        <v>29</v>
      </c>
      <c r="C73" s="24" t="s">
        <v>30</v>
      </c>
      <c r="D73" s="25" t="s">
        <v>26</v>
      </c>
      <c r="E73" s="26">
        <v>1276</v>
      </c>
      <c r="F73" s="27">
        <v>44945</v>
      </c>
      <c r="G73" s="28">
        <f t="shared" si="4"/>
        <v>19</v>
      </c>
      <c r="H73" s="28">
        <f t="shared" si="5"/>
        <v>2023</v>
      </c>
      <c r="I73" s="29" t="str">
        <f t="shared" si="6"/>
        <v>Jan</v>
      </c>
      <c r="J73" s="29" t="str">
        <f>_xlfn.XLOOKUP(B73,Branch_Summary!A:A,Branch_Summary!B:B,"Not Found",0)</f>
        <v>Amman Main</v>
      </c>
      <c r="K73" s="29" t="str">
        <f>_xlfn.XLOOKUP(B73,Branch_Summary!A:A,Branch_Summary!C:C,"Not Found",0)</f>
        <v>Withdrawal</v>
      </c>
      <c r="L73" s="29" t="str">
        <f t="shared" si="7"/>
        <v>Low Value</v>
      </c>
    </row>
    <row r="74" spans="1:12">
      <c r="A74" s="24">
        <v>10005</v>
      </c>
      <c r="B74" s="24" t="s">
        <v>8</v>
      </c>
      <c r="C74" s="24" t="s">
        <v>41</v>
      </c>
      <c r="D74" s="25" t="s">
        <v>37</v>
      </c>
      <c r="E74" s="26">
        <v>3396</v>
      </c>
      <c r="F74" s="27">
        <v>45205</v>
      </c>
      <c r="G74" s="28">
        <f t="shared" si="4"/>
        <v>6</v>
      </c>
      <c r="H74" s="28">
        <f t="shared" si="5"/>
        <v>2023</v>
      </c>
      <c r="I74" s="29" t="str">
        <f t="shared" si="6"/>
        <v>Oct</v>
      </c>
      <c r="J74" s="29" t="str">
        <f>_xlfn.XLOOKUP(B74,Branch_Summary!A:A,Branch_Summary!B:B,"Not Found",0)</f>
        <v>Irbid</v>
      </c>
      <c r="K74" s="29" t="str">
        <f>_xlfn.XLOOKUP(B74,Branch_Summary!A:A,Branch_Summary!C:C,"Not Found",0)</f>
        <v>Withdrawal</v>
      </c>
      <c r="L74" s="29" t="str">
        <f t="shared" si="7"/>
        <v>Low Value</v>
      </c>
    </row>
    <row r="75" spans="1:12">
      <c r="A75" s="24">
        <v>10007</v>
      </c>
      <c r="B75" s="24" t="s">
        <v>8</v>
      </c>
      <c r="C75" s="24" t="s">
        <v>9</v>
      </c>
      <c r="D75" s="25" t="s">
        <v>38</v>
      </c>
      <c r="E75" s="26">
        <v>1007</v>
      </c>
      <c r="F75" s="27">
        <v>44550</v>
      </c>
      <c r="G75" s="28">
        <f t="shared" si="4"/>
        <v>20</v>
      </c>
      <c r="H75" s="28">
        <f t="shared" si="5"/>
        <v>2021</v>
      </c>
      <c r="I75" s="29" t="str">
        <f t="shared" si="6"/>
        <v>Dec</v>
      </c>
      <c r="J75" s="29" t="str">
        <f>_xlfn.XLOOKUP(B75,Branch_Summary!A:A,Branch_Summary!B:B,"Not Found",0)</f>
        <v>Irbid</v>
      </c>
      <c r="K75" s="29" t="str">
        <f>_xlfn.XLOOKUP(B75,Branch_Summary!A:A,Branch_Summary!C:C,"Not Found",0)</f>
        <v>Withdrawal</v>
      </c>
      <c r="L75" s="29" t="str">
        <f t="shared" si="7"/>
        <v>Low Value</v>
      </c>
    </row>
    <row r="76" spans="1:12">
      <c r="A76" s="24">
        <v>10013</v>
      </c>
      <c r="B76" s="24" t="s">
        <v>8</v>
      </c>
      <c r="C76" s="24" t="s">
        <v>9</v>
      </c>
      <c r="D76" s="25" t="s">
        <v>26</v>
      </c>
      <c r="E76" s="26">
        <v>4301</v>
      </c>
      <c r="F76" s="27">
        <v>44722</v>
      </c>
      <c r="G76" s="28">
        <f t="shared" si="4"/>
        <v>10</v>
      </c>
      <c r="H76" s="28">
        <f t="shared" si="5"/>
        <v>2022</v>
      </c>
      <c r="I76" s="29" t="str">
        <f t="shared" si="6"/>
        <v>Jun</v>
      </c>
      <c r="J76" s="29" t="str">
        <f>_xlfn.XLOOKUP(B76,Branch_Summary!A:A,Branch_Summary!B:B,"Not Found",0)</f>
        <v>Irbid</v>
      </c>
      <c r="K76" s="29" t="str">
        <f>_xlfn.XLOOKUP(B76,Branch_Summary!A:A,Branch_Summary!C:C,"Not Found",0)</f>
        <v>Withdrawal</v>
      </c>
      <c r="L76" s="29" t="str">
        <f t="shared" si="7"/>
        <v>High Value</v>
      </c>
    </row>
    <row r="77" spans="1:12">
      <c r="A77" s="24">
        <v>10021</v>
      </c>
      <c r="B77" s="24" t="s">
        <v>8</v>
      </c>
      <c r="C77" s="24" t="s">
        <v>9</v>
      </c>
      <c r="D77" s="25" t="s">
        <v>37</v>
      </c>
      <c r="E77" s="26">
        <v>239</v>
      </c>
      <c r="F77" s="27">
        <v>44771</v>
      </c>
      <c r="G77" s="28">
        <f t="shared" si="4"/>
        <v>29</v>
      </c>
      <c r="H77" s="28">
        <f t="shared" si="5"/>
        <v>2022</v>
      </c>
      <c r="I77" s="29" t="str">
        <f t="shared" si="6"/>
        <v>Jul</v>
      </c>
      <c r="J77" s="29" t="str">
        <f>_xlfn.XLOOKUP(B77,Branch_Summary!A:A,Branch_Summary!B:B,"Not Found",0)</f>
        <v>Irbid</v>
      </c>
      <c r="K77" s="29" t="str">
        <f>_xlfn.XLOOKUP(B77,Branch_Summary!A:A,Branch_Summary!C:C,"Not Found",0)</f>
        <v>Withdrawal</v>
      </c>
      <c r="L77" s="29" t="str">
        <f t="shared" si="7"/>
        <v>Low Value</v>
      </c>
    </row>
    <row r="78" spans="1:12">
      <c r="A78" s="24">
        <v>10029</v>
      </c>
      <c r="B78" s="24" t="s">
        <v>8</v>
      </c>
      <c r="C78" s="24" t="s">
        <v>9</v>
      </c>
      <c r="D78" s="25" t="s">
        <v>37</v>
      </c>
      <c r="E78" s="26">
        <v>2854</v>
      </c>
      <c r="F78" s="27">
        <v>44552</v>
      </c>
      <c r="G78" s="28">
        <f t="shared" si="4"/>
        <v>22</v>
      </c>
      <c r="H78" s="28">
        <f t="shared" si="5"/>
        <v>2021</v>
      </c>
      <c r="I78" s="29" t="str">
        <f t="shared" si="6"/>
        <v>Dec</v>
      </c>
      <c r="J78" s="29" t="str">
        <f>_xlfn.XLOOKUP(B78,Branch_Summary!A:A,Branch_Summary!B:B,"Not Found",0)</f>
        <v>Irbid</v>
      </c>
      <c r="K78" s="29" t="str">
        <f>_xlfn.XLOOKUP(B78,Branch_Summary!A:A,Branch_Summary!C:C,"Not Found",0)</f>
        <v>Withdrawal</v>
      </c>
      <c r="L78" s="29" t="str">
        <f t="shared" si="7"/>
        <v>Low Value</v>
      </c>
    </row>
    <row r="79" spans="1:12">
      <c r="A79" s="24">
        <v>10033</v>
      </c>
      <c r="B79" s="24" t="s">
        <v>8</v>
      </c>
      <c r="C79" s="24" t="s">
        <v>9</v>
      </c>
      <c r="D79" s="25" t="s">
        <v>37</v>
      </c>
      <c r="E79" s="26">
        <v>1802</v>
      </c>
      <c r="F79" s="27">
        <v>43626</v>
      </c>
      <c r="G79" s="28">
        <f t="shared" si="4"/>
        <v>10</v>
      </c>
      <c r="H79" s="28">
        <f t="shared" si="5"/>
        <v>2019</v>
      </c>
      <c r="I79" s="29" t="str">
        <f t="shared" si="6"/>
        <v>Jun</v>
      </c>
      <c r="J79" s="29" t="str">
        <f>_xlfn.XLOOKUP(B79,Branch_Summary!A:A,Branch_Summary!B:B,"Not Found",0)</f>
        <v>Irbid</v>
      </c>
      <c r="K79" s="29" t="str">
        <f>_xlfn.XLOOKUP(B79,Branch_Summary!A:A,Branch_Summary!C:C,"Not Found",0)</f>
        <v>Withdrawal</v>
      </c>
      <c r="L79" s="29" t="str">
        <f t="shared" si="7"/>
        <v>Low Value</v>
      </c>
    </row>
    <row r="80" spans="1:12">
      <c r="A80" s="24">
        <v>10051</v>
      </c>
      <c r="B80" s="24" t="s">
        <v>8</v>
      </c>
      <c r="C80" s="24" t="s">
        <v>9</v>
      </c>
      <c r="D80" s="25" t="s">
        <v>37</v>
      </c>
      <c r="E80" s="26">
        <v>3677</v>
      </c>
      <c r="F80" s="27">
        <v>44093</v>
      </c>
      <c r="G80" s="28">
        <f t="shared" si="4"/>
        <v>19</v>
      </c>
      <c r="H80" s="28">
        <f t="shared" si="5"/>
        <v>2020</v>
      </c>
      <c r="I80" s="29" t="str">
        <f t="shared" si="6"/>
        <v>Sep</v>
      </c>
      <c r="J80" s="29" t="str">
        <f>_xlfn.XLOOKUP(B80,Branch_Summary!A:A,Branch_Summary!B:B,"Not Found",0)</f>
        <v>Irbid</v>
      </c>
      <c r="K80" s="29" t="str">
        <f>_xlfn.XLOOKUP(B80,Branch_Summary!A:A,Branch_Summary!C:C,"Not Found",0)</f>
        <v>Withdrawal</v>
      </c>
      <c r="L80" s="29" t="str">
        <f t="shared" si="7"/>
        <v>Low Value</v>
      </c>
    </row>
    <row r="81" spans="1:12">
      <c r="A81" s="24">
        <v>10066</v>
      </c>
      <c r="B81" s="24" t="s">
        <v>8</v>
      </c>
      <c r="C81" s="24" t="s">
        <v>9</v>
      </c>
      <c r="D81" s="25" t="s">
        <v>26</v>
      </c>
      <c r="E81" s="26">
        <v>3898</v>
      </c>
      <c r="F81" s="27">
        <v>44045</v>
      </c>
      <c r="G81" s="28">
        <f t="shared" si="4"/>
        <v>2</v>
      </c>
      <c r="H81" s="28">
        <f t="shared" si="5"/>
        <v>2020</v>
      </c>
      <c r="I81" s="29" t="str">
        <f t="shared" si="6"/>
        <v>Aug</v>
      </c>
      <c r="J81" s="29" t="str">
        <f>_xlfn.XLOOKUP(B81,Branch_Summary!A:A,Branch_Summary!B:B,"Not Found",0)</f>
        <v>Irbid</v>
      </c>
      <c r="K81" s="29" t="str">
        <f>_xlfn.XLOOKUP(B81,Branch_Summary!A:A,Branch_Summary!C:C,"Not Found",0)</f>
        <v>Withdrawal</v>
      </c>
      <c r="L81" s="29" t="str">
        <f t="shared" si="7"/>
        <v>Low Value</v>
      </c>
    </row>
    <row r="82" spans="1:12">
      <c r="A82" s="24">
        <v>10078</v>
      </c>
      <c r="B82" s="24" t="s">
        <v>8</v>
      </c>
      <c r="C82" s="24" t="s">
        <v>9</v>
      </c>
      <c r="D82" s="25" t="s">
        <v>37</v>
      </c>
      <c r="E82" s="26">
        <v>4168</v>
      </c>
      <c r="F82" s="27">
        <v>43504</v>
      </c>
      <c r="G82" s="28">
        <f t="shared" si="4"/>
        <v>8</v>
      </c>
      <c r="H82" s="28">
        <f t="shared" si="5"/>
        <v>2019</v>
      </c>
      <c r="I82" s="29" t="str">
        <f t="shared" si="6"/>
        <v>Feb</v>
      </c>
      <c r="J82" s="29" t="str">
        <f>_xlfn.XLOOKUP(B82,Branch_Summary!A:A,Branch_Summary!B:B,"Not Found",0)</f>
        <v>Irbid</v>
      </c>
      <c r="K82" s="29" t="str">
        <f>_xlfn.XLOOKUP(B82,Branch_Summary!A:A,Branch_Summary!C:C,"Not Found",0)</f>
        <v>Withdrawal</v>
      </c>
      <c r="L82" s="29" t="str">
        <f t="shared" si="7"/>
        <v>High Value</v>
      </c>
    </row>
    <row r="83" spans="1:12">
      <c r="A83" s="24">
        <v>10082</v>
      </c>
      <c r="B83" s="24" t="s">
        <v>8</v>
      </c>
      <c r="C83" s="24" t="s">
        <v>9</v>
      </c>
      <c r="D83" s="25" t="s">
        <v>21</v>
      </c>
      <c r="E83" s="26">
        <v>106</v>
      </c>
      <c r="F83" s="27">
        <v>43968</v>
      </c>
      <c r="G83" s="28">
        <f t="shared" si="4"/>
        <v>17</v>
      </c>
      <c r="H83" s="28">
        <f t="shared" si="5"/>
        <v>2020</v>
      </c>
      <c r="I83" s="29" t="str">
        <f t="shared" si="6"/>
        <v>May</v>
      </c>
      <c r="J83" s="29" t="str">
        <f>_xlfn.XLOOKUP(B83,Branch_Summary!A:A,Branch_Summary!B:B,"Not Found",0)</f>
        <v>Irbid</v>
      </c>
      <c r="K83" s="29" t="str">
        <f>_xlfn.XLOOKUP(B83,Branch_Summary!A:A,Branch_Summary!C:C,"Not Found",0)</f>
        <v>Withdrawal</v>
      </c>
      <c r="L83" s="29" t="str">
        <f t="shared" si="7"/>
        <v>Low Value</v>
      </c>
    </row>
    <row r="84" spans="1:12">
      <c r="A84" s="24">
        <v>10083</v>
      </c>
      <c r="B84" s="24" t="s">
        <v>8</v>
      </c>
      <c r="C84" s="24" t="s">
        <v>9</v>
      </c>
      <c r="D84" s="25" t="s">
        <v>21</v>
      </c>
      <c r="E84" s="26">
        <v>1804</v>
      </c>
      <c r="F84" s="27">
        <v>44596</v>
      </c>
      <c r="G84" s="28">
        <f t="shared" si="4"/>
        <v>4</v>
      </c>
      <c r="H84" s="28">
        <f t="shared" si="5"/>
        <v>2022</v>
      </c>
      <c r="I84" s="29" t="str">
        <f t="shared" si="6"/>
        <v>Feb</v>
      </c>
      <c r="J84" s="29" t="str">
        <f>_xlfn.XLOOKUP(B84,Branch_Summary!A:A,Branch_Summary!B:B,"Not Found",0)</f>
        <v>Irbid</v>
      </c>
      <c r="K84" s="29" t="str">
        <f>_xlfn.XLOOKUP(B84,Branch_Summary!A:A,Branch_Summary!C:C,"Not Found",0)</f>
        <v>Withdrawal</v>
      </c>
      <c r="L84" s="29" t="str">
        <f t="shared" si="7"/>
        <v>Low Value</v>
      </c>
    </row>
    <row r="85" spans="1:12">
      <c r="A85" s="24">
        <v>10097</v>
      </c>
      <c r="B85" s="24" t="s">
        <v>8</v>
      </c>
      <c r="C85" s="24" t="s">
        <v>9</v>
      </c>
      <c r="D85" s="25" t="s">
        <v>37</v>
      </c>
      <c r="E85" s="26">
        <v>1280</v>
      </c>
      <c r="F85" s="27">
        <v>44619</v>
      </c>
      <c r="G85" s="28">
        <f t="shared" si="4"/>
        <v>27</v>
      </c>
      <c r="H85" s="28">
        <f t="shared" si="5"/>
        <v>2022</v>
      </c>
      <c r="I85" s="29" t="str">
        <f t="shared" si="6"/>
        <v>Feb</v>
      </c>
      <c r="J85" s="29" t="str">
        <f>_xlfn.XLOOKUP(B85,Branch_Summary!A:A,Branch_Summary!B:B,"Not Found",0)</f>
        <v>Irbid</v>
      </c>
      <c r="K85" s="29" t="str">
        <f>_xlfn.XLOOKUP(B85,Branch_Summary!A:A,Branch_Summary!C:C,"Not Found",0)</f>
        <v>Withdrawal</v>
      </c>
      <c r="L85" s="29" t="str">
        <f t="shared" si="7"/>
        <v>Low Value</v>
      </c>
    </row>
    <row r="86" spans="1:12">
      <c r="A86" s="24">
        <v>10107</v>
      </c>
      <c r="B86" s="24" t="s">
        <v>8</v>
      </c>
      <c r="C86" s="24" t="s">
        <v>9</v>
      </c>
      <c r="D86" s="25" t="s">
        <v>37</v>
      </c>
      <c r="E86" s="26">
        <v>2953</v>
      </c>
      <c r="F86" s="27">
        <v>45033</v>
      </c>
      <c r="G86" s="28">
        <f t="shared" si="4"/>
        <v>17</v>
      </c>
      <c r="H86" s="28">
        <f t="shared" si="5"/>
        <v>2023</v>
      </c>
      <c r="I86" s="29" t="str">
        <f t="shared" si="6"/>
        <v>Apr</v>
      </c>
      <c r="J86" s="29" t="str">
        <f>_xlfn.XLOOKUP(B86,Branch_Summary!A:A,Branch_Summary!B:B,"Not Found",0)</f>
        <v>Irbid</v>
      </c>
      <c r="K86" s="29" t="str">
        <f>_xlfn.XLOOKUP(B86,Branch_Summary!A:A,Branch_Summary!C:C,"Not Found",0)</f>
        <v>Withdrawal</v>
      </c>
      <c r="L86" s="29" t="str">
        <f t="shared" si="7"/>
        <v>Low Value</v>
      </c>
    </row>
    <row r="87" spans="1:12">
      <c r="A87" s="24">
        <v>10108</v>
      </c>
      <c r="B87" s="24" t="s">
        <v>8</v>
      </c>
      <c r="C87" s="24" t="s">
        <v>9</v>
      </c>
      <c r="D87" s="25" t="s">
        <v>37</v>
      </c>
      <c r="E87" s="26">
        <v>668</v>
      </c>
      <c r="F87" s="27">
        <v>45557</v>
      </c>
      <c r="G87" s="28">
        <f t="shared" si="4"/>
        <v>22</v>
      </c>
      <c r="H87" s="28">
        <f t="shared" si="5"/>
        <v>2024</v>
      </c>
      <c r="I87" s="29" t="str">
        <f t="shared" si="6"/>
        <v>Sep</v>
      </c>
      <c r="J87" s="29" t="str">
        <f>_xlfn.XLOOKUP(B87,Branch_Summary!A:A,Branch_Summary!B:B,"Not Found",0)</f>
        <v>Irbid</v>
      </c>
      <c r="K87" s="29" t="str">
        <f>_xlfn.XLOOKUP(B87,Branch_Summary!A:A,Branch_Summary!C:C,"Not Found",0)</f>
        <v>Withdrawal</v>
      </c>
      <c r="L87" s="29" t="str">
        <f t="shared" si="7"/>
        <v>Low Value</v>
      </c>
    </row>
    <row r="88" spans="1:12">
      <c r="A88" s="24">
        <v>10110</v>
      </c>
      <c r="B88" s="24" t="s">
        <v>8</v>
      </c>
      <c r="C88" s="24" t="s">
        <v>9</v>
      </c>
      <c r="D88" s="25" t="s">
        <v>26</v>
      </c>
      <c r="E88" s="26">
        <v>431</v>
      </c>
      <c r="F88" s="27">
        <v>45401</v>
      </c>
      <c r="G88" s="28">
        <f t="shared" si="4"/>
        <v>19</v>
      </c>
      <c r="H88" s="28">
        <f t="shared" si="5"/>
        <v>2024</v>
      </c>
      <c r="I88" s="29" t="str">
        <f t="shared" si="6"/>
        <v>Apr</v>
      </c>
      <c r="J88" s="29" t="str">
        <f>_xlfn.XLOOKUP(B88,Branch_Summary!A:A,Branch_Summary!B:B,"Not Found",0)</f>
        <v>Irbid</v>
      </c>
      <c r="K88" s="29" t="str">
        <f>_xlfn.XLOOKUP(B88,Branch_Summary!A:A,Branch_Summary!C:C,"Not Found",0)</f>
        <v>Withdrawal</v>
      </c>
      <c r="L88" s="29" t="str">
        <f t="shared" si="7"/>
        <v>Low Value</v>
      </c>
    </row>
    <row r="89" spans="1:12">
      <c r="A89" s="24">
        <v>10113</v>
      </c>
      <c r="B89" s="24" t="s">
        <v>8</v>
      </c>
      <c r="C89" s="24" t="s">
        <v>9</v>
      </c>
      <c r="D89" s="25" t="s">
        <v>21</v>
      </c>
      <c r="E89" s="26">
        <v>3760</v>
      </c>
      <c r="F89" s="27">
        <v>44769</v>
      </c>
      <c r="G89" s="28">
        <f t="shared" si="4"/>
        <v>27</v>
      </c>
      <c r="H89" s="28">
        <f t="shared" si="5"/>
        <v>2022</v>
      </c>
      <c r="I89" s="29" t="str">
        <f t="shared" si="6"/>
        <v>Jul</v>
      </c>
      <c r="J89" s="29" t="str">
        <f>_xlfn.XLOOKUP(B89,Branch_Summary!A:A,Branch_Summary!B:B,"Not Found",0)</f>
        <v>Irbid</v>
      </c>
      <c r="K89" s="29" t="str">
        <f>_xlfn.XLOOKUP(B89,Branch_Summary!A:A,Branch_Summary!C:C,"Not Found",0)</f>
        <v>Withdrawal</v>
      </c>
      <c r="L89" s="29" t="str">
        <f t="shared" si="7"/>
        <v>Low Value</v>
      </c>
    </row>
    <row r="90" spans="1:12">
      <c r="A90" s="24">
        <v>10115</v>
      </c>
      <c r="B90" s="24" t="s">
        <v>8</v>
      </c>
      <c r="C90" s="24" t="s">
        <v>9</v>
      </c>
      <c r="D90" s="25" t="s">
        <v>26</v>
      </c>
      <c r="E90" s="26">
        <v>1776</v>
      </c>
      <c r="F90" s="27">
        <v>44446</v>
      </c>
      <c r="G90" s="28">
        <f t="shared" si="4"/>
        <v>7</v>
      </c>
      <c r="H90" s="28">
        <f t="shared" si="5"/>
        <v>2021</v>
      </c>
      <c r="I90" s="29" t="str">
        <f t="shared" si="6"/>
        <v>Sep</v>
      </c>
      <c r="J90" s="29" t="str">
        <f>_xlfn.XLOOKUP(B90,Branch_Summary!A:A,Branch_Summary!B:B,"Not Found",0)</f>
        <v>Irbid</v>
      </c>
      <c r="K90" s="29" t="str">
        <f>_xlfn.XLOOKUP(B90,Branch_Summary!A:A,Branch_Summary!C:C,"Not Found",0)</f>
        <v>Withdrawal</v>
      </c>
      <c r="L90" s="29" t="str">
        <f t="shared" si="7"/>
        <v>Low Value</v>
      </c>
    </row>
    <row r="91" spans="1:12">
      <c r="A91" s="24">
        <v>10127</v>
      </c>
      <c r="B91" s="24" t="s">
        <v>8</v>
      </c>
      <c r="C91" s="24" t="s">
        <v>9</v>
      </c>
      <c r="D91" s="25" t="s">
        <v>37</v>
      </c>
      <c r="E91" s="26">
        <v>3315</v>
      </c>
      <c r="F91" s="27">
        <v>43773</v>
      </c>
      <c r="G91" s="28">
        <f t="shared" si="4"/>
        <v>4</v>
      </c>
      <c r="H91" s="28">
        <f t="shared" si="5"/>
        <v>2019</v>
      </c>
      <c r="I91" s="29" t="str">
        <f t="shared" si="6"/>
        <v>Nov</v>
      </c>
      <c r="J91" s="29" t="str">
        <f>_xlfn.XLOOKUP(B91,Branch_Summary!A:A,Branch_Summary!B:B,"Not Found",0)</f>
        <v>Irbid</v>
      </c>
      <c r="K91" s="29" t="str">
        <f>_xlfn.XLOOKUP(B91,Branch_Summary!A:A,Branch_Summary!C:C,"Not Found",0)</f>
        <v>Withdrawal</v>
      </c>
      <c r="L91" s="29" t="str">
        <f t="shared" si="7"/>
        <v>Low Value</v>
      </c>
    </row>
    <row r="92" spans="1:12">
      <c r="A92" s="24">
        <v>10131</v>
      </c>
      <c r="B92" s="24" t="s">
        <v>8</v>
      </c>
      <c r="C92" s="24" t="s">
        <v>9</v>
      </c>
      <c r="D92" s="25" t="s">
        <v>21</v>
      </c>
      <c r="E92" s="26">
        <v>1553</v>
      </c>
      <c r="F92" s="27">
        <v>44434</v>
      </c>
      <c r="G92" s="28">
        <f t="shared" si="4"/>
        <v>26</v>
      </c>
      <c r="H92" s="28">
        <f t="shared" si="5"/>
        <v>2021</v>
      </c>
      <c r="I92" s="29" t="str">
        <f t="shared" si="6"/>
        <v>Aug</v>
      </c>
      <c r="J92" s="29" t="str">
        <f>_xlfn.XLOOKUP(B92,Branch_Summary!A:A,Branch_Summary!B:B,"Not Found",0)</f>
        <v>Irbid</v>
      </c>
      <c r="K92" s="29" t="str">
        <f>_xlfn.XLOOKUP(B92,Branch_Summary!A:A,Branch_Summary!C:C,"Not Found",0)</f>
        <v>Withdrawal</v>
      </c>
      <c r="L92" s="29" t="str">
        <f t="shared" si="7"/>
        <v>Low Value</v>
      </c>
    </row>
    <row r="93" spans="1:12">
      <c r="A93" s="24">
        <v>10143</v>
      </c>
      <c r="B93" s="24" t="s">
        <v>8</v>
      </c>
      <c r="C93" s="24" t="s">
        <v>9</v>
      </c>
      <c r="D93" s="25" t="s">
        <v>37</v>
      </c>
      <c r="E93" s="26">
        <v>481</v>
      </c>
      <c r="F93" s="27">
        <v>45321</v>
      </c>
      <c r="G93" s="28">
        <f t="shared" si="4"/>
        <v>30</v>
      </c>
      <c r="H93" s="28">
        <f t="shared" si="5"/>
        <v>2024</v>
      </c>
      <c r="I93" s="29" t="str">
        <f t="shared" si="6"/>
        <v>Jan</v>
      </c>
      <c r="J93" s="29" t="str">
        <f>_xlfn.XLOOKUP(B93,Branch_Summary!A:A,Branch_Summary!B:B,"Not Found",0)</f>
        <v>Irbid</v>
      </c>
      <c r="K93" s="29" t="str">
        <f>_xlfn.XLOOKUP(B93,Branch_Summary!A:A,Branch_Summary!C:C,"Not Found",0)</f>
        <v>Withdrawal</v>
      </c>
      <c r="L93" s="29" t="str">
        <f t="shared" si="7"/>
        <v>Low Value</v>
      </c>
    </row>
    <row r="94" spans="1:12">
      <c r="A94" s="24">
        <v>10178</v>
      </c>
      <c r="B94" s="24" t="s">
        <v>8</v>
      </c>
      <c r="C94" s="24" t="s">
        <v>9</v>
      </c>
      <c r="D94" s="25" t="s">
        <v>26</v>
      </c>
      <c r="E94" s="26">
        <v>1453</v>
      </c>
      <c r="F94" s="27">
        <v>43584</v>
      </c>
      <c r="G94" s="28">
        <f t="shared" si="4"/>
        <v>29</v>
      </c>
      <c r="H94" s="28">
        <f t="shared" si="5"/>
        <v>2019</v>
      </c>
      <c r="I94" s="29" t="str">
        <f t="shared" si="6"/>
        <v>Apr</v>
      </c>
      <c r="J94" s="29" t="str">
        <f>_xlfn.XLOOKUP(B94,Branch_Summary!A:A,Branch_Summary!B:B,"Not Found",0)</f>
        <v>Irbid</v>
      </c>
      <c r="K94" s="29" t="str">
        <f>_xlfn.XLOOKUP(B94,Branch_Summary!A:A,Branch_Summary!C:C,"Not Found",0)</f>
        <v>Withdrawal</v>
      </c>
      <c r="L94" s="29" t="str">
        <f t="shared" si="7"/>
        <v>Low Value</v>
      </c>
    </row>
    <row r="95" spans="1:12">
      <c r="A95" s="24">
        <v>10198</v>
      </c>
      <c r="B95" s="24" t="s">
        <v>8</v>
      </c>
      <c r="C95" s="24" t="s">
        <v>9</v>
      </c>
      <c r="D95" s="25" t="s">
        <v>26</v>
      </c>
      <c r="E95" s="26">
        <v>3354</v>
      </c>
      <c r="F95" s="27">
        <v>45387</v>
      </c>
      <c r="G95" s="28">
        <f t="shared" si="4"/>
        <v>5</v>
      </c>
      <c r="H95" s="28">
        <f t="shared" si="5"/>
        <v>2024</v>
      </c>
      <c r="I95" s="29" t="str">
        <f t="shared" si="6"/>
        <v>Apr</v>
      </c>
      <c r="J95" s="29" t="str">
        <f>_xlfn.XLOOKUP(B95,Branch_Summary!A:A,Branch_Summary!B:B,"Not Found",0)</f>
        <v>Irbid</v>
      </c>
      <c r="K95" s="29" t="str">
        <f>_xlfn.XLOOKUP(B95,Branch_Summary!A:A,Branch_Summary!C:C,"Not Found",0)</f>
        <v>Withdrawal</v>
      </c>
      <c r="L95" s="29" t="str">
        <f t="shared" si="7"/>
        <v>Low Value</v>
      </c>
    </row>
    <row r="96" spans="1:12">
      <c r="A96" s="24">
        <v>10200</v>
      </c>
      <c r="B96" s="24" t="s">
        <v>8</v>
      </c>
      <c r="C96" s="24" t="s">
        <v>9</v>
      </c>
      <c r="D96" s="25" t="s">
        <v>37</v>
      </c>
      <c r="E96" s="26">
        <v>361</v>
      </c>
      <c r="F96" s="27">
        <v>44153</v>
      </c>
      <c r="G96" s="28">
        <f t="shared" si="4"/>
        <v>18</v>
      </c>
      <c r="H96" s="28">
        <f t="shared" si="5"/>
        <v>2020</v>
      </c>
      <c r="I96" s="29" t="str">
        <f t="shared" si="6"/>
        <v>Nov</v>
      </c>
      <c r="J96" s="29" t="str">
        <f>_xlfn.XLOOKUP(B96,Branch_Summary!A:A,Branch_Summary!B:B,"Not Found",0)</f>
        <v>Irbid</v>
      </c>
      <c r="K96" s="29" t="str">
        <f>_xlfn.XLOOKUP(B96,Branch_Summary!A:A,Branch_Summary!C:C,"Not Found",0)</f>
        <v>Withdrawal</v>
      </c>
      <c r="L96" s="29" t="str">
        <f t="shared" si="7"/>
        <v>Low Value</v>
      </c>
    </row>
    <row r="97" spans="1:12">
      <c r="A97" s="24">
        <v>10201</v>
      </c>
      <c r="B97" s="24" t="s">
        <v>8</v>
      </c>
      <c r="C97" s="24" t="s">
        <v>9</v>
      </c>
      <c r="D97" s="25" t="s">
        <v>26</v>
      </c>
      <c r="E97" s="26">
        <v>3765</v>
      </c>
      <c r="F97" s="27">
        <v>44936</v>
      </c>
      <c r="G97" s="28">
        <f t="shared" si="4"/>
        <v>10</v>
      </c>
      <c r="H97" s="28">
        <f t="shared" si="5"/>
        <v>2023</v>
      </c>
      <c r="I97" s="29" t="str">
        <f t="shared" si="6"/>
        <v>Jan</v>
      </c>
      <c r="J97" s="29" t="str">
        <f>_xlfn.XLOOKUP(B97,Branch_Summary!A:A,Branch_Summary!B:B,"Not Found",0)</f>
        <v>Irbid</v>
      </c>
      <c r="K97" s="29" t="str">
        <f>_xlfn.XLOOKUP(B97,Branch_Summary!A:A,Branch_Summary!C:C,"Not Found",0)</f>
        <v>Withdrawal</v>
      </c>
      <c r="L97" s="29" t="str">
        <f t="shared" si="7"/>
        <v>Low Value</v>
      </c>
    </row>
    <row r="98" spans="1:12">
      <c r="A98" s="24">
        <v>10202</v>
      </c>
      <c r="B98" s="24" t="s">
        <v>8</v>
      </c>
      <c r="C98" s="24" t="s">
        <v>9</v>
      </c>
      <c r="D98" s="25" t="s">
        <v>21</v>
      </c>
      <c r="E98" s="26">
        <v>1033</v>
      </c>
      <c r="F98" s="27">
        <v>43566</v>
      </c>
      <c r="G98" s="28">
        <f t="shared" si="4"/>
        <v>11</v>
      </c>
      <c r="H98" s="28">
        <f t="shared" si="5"/>
        <v>2019</v>
      </c>
      <c r="I98" s="29" t="str">
        <f t="shared" si="6"/>
        <v>Apr</v>
      </c>
      <c r="J98" s="29" t="str">
        <f>_xlfn.XLOOKUP(B98,Branch_Summary!A:A,Branch_Summary!B:B,"Not Found",0)</f>
        <v>Irbid</v>
      </c>
      <c r="K98" s="29" t="str">
        <f>_xlfn.XLOOKUP(B98,Branch_Summary!A:A,Branch_Summary!C:C,"Not Found",0)</f>
        <v>Withdrawal</v>
      </c>
      <c r="L98" s="29" t="str">
        <f t="shared" si="7"/>
        <v>Low Value</v>
      </c>
    </row>
    <row r="99" spans="1:12">
      <c r="A99" s="24">
        <v>10204</v>
      </c>
      <c r="B99" s="24" t="s">
        <v>8</v>
      </c>
      <c r="C99" s="24" t="s">
        <v>9</v>
      </c>
      <c r="D99" s="25" t="s">
        <v>26</v>
      </c>
      <c r="E99" s="26">
        <v>811</v>
      </c>
      <c r="F99" s="27">
        <v>43885</v>
      </c>
      <c r="G99" s="28">
        <f t="shared" si="4"/>
        <v>24</v>
      </c>
      <c r="H99" s="28">
        <f t="shared" si="5"/>
        <v>2020</v>
      </c>
      <c r="I99" s="29" t="str">
        <f t="shared" si="6"/>
        <v>Feb</v>
      </c>
      <c r="J99" s="29" t="str">
        <f>_xlfn.XLOOKUP(B99,Branch_Summary!A:A,Branch_Summary!B:B,"Not Found",0)</f>
        <v>Irbid</v>
      </c>
      <c r="K99" s="29" t="str">
        <f>_xlfn.XLOOKUP(B99,Branch_Summary!A:A,Branch_Summary!C:C,"Not Found",0)</f>
        <v>Withdrawal</v>
      </c>
      <c r="L99" s="29" t="str">
        <f t="shared" si="7"/>
        <v>Low Value</v>
      </c>
    </row>
    <row r="100" spans="1:12">
      <c r="A100" s="24">
        <v>10210</v>
      </c>
      <c r="B100" s="24" t="s">
        <v>8</v>
      </c>
      <c r="C100" s="24" t="s">
        <v>9</v>
      </c>
      <c r="D100" s="25" t="s">
        <v>26</v>
      </c>
      <c r="E100" s="26">
        <v>4286</v>
      </c>
      <c r="F100" s="27">
        <v>43760</v>
      </c>
      <c r="G100" s="28">
        <f t="shared" si="4"/>
        <v>22</v>
      </c>
      <c r="H100" s="28">
        <f t="shared" si="5"/>
        <v>2019</v>
      </c>
      <c r="I100" s="29" t="str">
        <f t="shared" si="6"/>
        <v>Oct</v>
      </c>
      <c r="J100" s="29" t="str">
        <f>_xlfn.XLOOKUP(B100,Branch_Summary!A:A,Branch_Summary!B:B,"Not Found",0)</f>
        <v>Irbid</v>
      </c>
      <c r="K100" s="29" t="str">
        <f>_xlfn.XLOOKUP(B100,Branch_Summary!A:A,Branch_Summary!C:C,"Not Found",0)</f>
        <v>Withdrawal</v>
      </c>
      <c r="L100" s="29" t="str">
        <f t="shared" si="7"/>
        <v>High Value</v>
      </c>
    </row>
    <row r="101" spans="1:12">
      <c r="A101" s="24">
        <v>10229</v>
      </c>
      <c r="B101" s="24" t="s">
        <v>8</v>
      </c>
      <c r="C101" s="24" t="s">
        <v>9</v>
      </c>
      <c r="D101" s="25" t="s">
        <v>26</v>
      </c>
      <c r="E101" s="26">
        <v>4344</v>
      </c>
      <c r="F101" s="27">
        <v>45076</v>
      </c>
      <c r="G101" s="28">
        <f t="shared" si="4"/>
        <v>30</v>
      </c>
      <c r="H101" s="28">
        <f t="shared" si="5"/>
        <v>2023</v>
      </c>
      <c r="I101" s="29" t="str">
        <f t="shared" si="6"/>
        <v>May</v>
      </c>
      <c r="J101" s="29" t="str">
        <f>_xlfn.XLOOKUP(B101,Branch_Summary!A:A,Branch_Summary!B:B,"Not Found",0)</f>
        <v>Irbid</v>
      </c>
      <c r="K101" s="29" t="str">
        <f>_xlfn.XLOOKUP(B101,Branch_Summary!A:A,Branch_Summary!C:C,"Not Found",0)</f>
        <v>Withdrawal</v>
      </c>
      <c r="L101" s="29" t="str">
        <f t="shared" si="7"/>
        <v>High Value</v>
      </c>
    </row>
    <row r="102" spans="1:12">
      <c r="A102" s="24">
        <v>10233</v>
      </c>
      <c r="B102" s="24" t="s">
        <v>8</v>
      </c>
      <c r="C102" s="24" t="s">
        <v>9</v>
      </c>
      <c r="D102" s="25" t="s">
        <v>37</v>
      </c>
      <c r="E102" s="26">
        <v>1427</v>
      </c>
      <c r="F102" s="27">
        <v>45572</v>
      </c>
      <c r="G102" s="28">
        <f t="shared" si="4"/>
        <v>7</v>
      </c>
      <c r="H102" s="28">
        <f t="shared" si="5"/>
        <v>2024</v>
      </c>
      <c r="I102" s="29" t="str">
        <f t="shared" si="6"/>
        <v>Oct</v>
      </c>
      <c r="J102" s="29" t="str">
        <f>_xlfn.XLOOKUP(B102,Branch_Summary!A:A,Branch_Summary!B:B,"Not Found",0)</f>
        <v>Irbid</v>
      </c>
      <c r="K102" s="29" t="str">
        <f>_xlfn.XLOOKUP(B102,Branch_Summary!A:A,Branch_Summary!C:C,"Not Found",0)</f>
        <v>Withdrawal</v>
      </c>
      <c r="L102" s="29" t="str">
        <f t="shared" si="7"/>
        <v>Low Value</v>
      </c>
    </row>
    <row r="103" spans="1:12">
      <c r="A103" s="24">
        <v>10002</v>
      </c>
      <c r="B103" s="24" t="s">
        <v>12</v>
      </c>
      <c r="C103" s="24" t="s">
        <v>40</v>
      </c>
      <c r="D103" s="25" t="s">
        <v>37</v>
      </c>
      <c r="E103" s="26">
        <v>3708</v>
      </c>
      <c r="F103" s="27">
        <v>44293</v>
      </c>
      <c r="G103" s="28">
        <f t="shared" si="4"/>
        <v>7</v>
      </c>
      <c r="H103" s="28">
        <f t="shared" si="5"/>
        <v>2021</v>
      </c>
      <c r="I103" s="29" t="str">
        <f t="shared" si="6"/>
        <v>Apr</v>
      </c>
      <c r="J103" s="29" t="str">
        <f>_xlfn.XLOOKUP(B103,Branch_Summary!A:A,Branch_Summary!B:B,"Not Found",0)</f>
        <v>Amman Main</v>
      </c>
      <c r="K103" s="29" t="str">
        <f>_xlfn.XLOOKUP(B103,Branch_Summary!A:A,Branch_Summary!C:C,"Not Found",0)</f>
        <v>Deposit</v>
      </c>
      <c r="L103" s="29" t="str">
        <f t="shared" si="7"/>
        <v>Low Value</v>
      </c>
    </row>
    <row r="104" spans="1:12">
      <c r="A104" s="24">
        <v>10008</v>
      </c>
      <c r="B104" s="24" t="s">
        <v>12</v>
      </c>
      <c r="C104" s="24" t="s">
        <v>13</v>
      </c>
      <c r="D104" s="25" t="s">
        <v>37</v>
      </c>
      <c r="E104" s="26">
        <v>1439</v>
      </c>
      <c r="F104" s="27">
        <v>43972</v>
      </c>
      <c r="G104" s="28">
        <f t="shared" si="4"/>
        <v>21</v>
      </c>
      <c r="H104" s="28">
        <f t="shared" si="5"/>
        <v>2020</v>
      </c>
      <c r="I104" s="29" t="str">
        <f t="shared" si="6"/>
        <v>May</v>
      </c>
      <c r="J104" s="29" t="str">
        <f>_xlfn.XLOOKUP(B104,Branch_Summary!A:A,Branch_Summary!B:B,"Not Found",0)</f>
        <v>Amman Main</v>
      </c>
      <c r="K104" s="29" t="str">
        <f>_xlfn.XLOOKUP(B104,Branch_Summary!A:A,Branch_Summary!C:C,"Not Found",0)</f>
        <v>Deposit</v>
      </c>
      <c r="L104" s="29" t="str">
        <f t="shared" si="7"/>
        <v>Low Value</v>
      </c>
    </row>
    <row r="105" spans="1:12">
      <c r="A105" s="24">
        <v>10028</v>
      </c>
      <c r="B105" s="24" t="s">
        <v>12</v>
      </c>
      <c r="C105" s="24" t="s">
        <v>13</v>
      </c>
      <c r="D105" s="25" t="s">
        <v>37</v>
      </c>
      <c r="E105" s="26">
        <v>1636</v>
      </c>
      <c r="F105" s="27">
        <v>45324</v>
      </c>
      <c r="G105" s="28">
        <f t="shared" si="4"/>
        <v>2</v>
      </c>
      <c r="H105" s="28">
        <f t="shared" si="5"/>
        <v>2024</v>
      </c>
      <c r="I105" s="29" t="str">
        <f t="shared" si="6"/>
        <v>Feb</v>
      </c>
      <c r="J105" s="29" t="str">
        <f>_xlfn.XLOOKUP(B105,Branch_Summary!A:A,Branch_Summary!B:B,"Not Found",0)</f>
        <v>Amman Main</v>
      </c>
      <c r="K105" s="29" t="str">
        <f>_xlfn.XLOOKUP(B105,Branch_Summary!A:A,Branch_Summary!C:C,"Not Found",0)</f>
        <v>Deposit</v>
      </c>
      <c r="L105" s="29" t="str">
        <f t="shared" si="7"/>
        <v>Low Value</v>
      </c>
    </row>
    <row r="106" spans="1:12">
      <c r="A106" s="24">
        <v>10036</v>
      </c>
      <c r="B106" s="24" t="s">
        <v>12</v>
      </c>
      <c r="C106" s="24" t="s">
        <v>13</v>
      </c>
      <c r="D106" s="25" t="s">
        <v>26</v>
      </c>
      <c r="E106" s="26">
        <v>2602</v>
      </c>
      <c r="F106" s="27">
        <v>45014</v>
      </c>
      <c r="G106" s="28">
        <f t="shared" si="4"/>
        <v>29</v>
      </c>
      <c r="H106" s="28">
        <f t="shared" si="5"/>
        <v>2023</v>
      </c>
      <c r="I106" s="29" t="str">
        <f t="shared" si="6"/>
        <v>Mar</v>
      </c>
      <c r="J106" s="29" t="str">
        <f>_xlfn.XLOOKUP(B106,Branch_Summary!A:A,Branch_Summary!B:B,"Not Found",0)</f>
        <v>Amman Main</v>
      </c>
      <c r="K106" s="29" t="str">
        <f>_xlfn.XLOOKUP(B106,Branch_Summary!A:A,Branch_Summary!C:C,"Not Found",0)</f>
        <v>Deposit</v>
      </c>
      <c r="L106" s="29" t="str">
        <f t="shared" si="7"/>
        <v>Low Value</v>
      </c>
    </row>
    <row r="107" spans="1:12">
      <c r="A107" s="24">
        <v>10060</v>
      </c>
      <c r="B107" s="24" t="s">
        <v>12</v>
      </c>
      <c r="C107" s="24" t="s">
        <v>13</v>
      </c>
      <c r="D107" s="25" t="s">
        <v>21</v>
      </c>
      <c r="E107" s="26">
        <v>1521</v>
      </c>
      <c r="F107" s="27">
        <v>45500</v>
      </c>
      <c r="G107" s="28">
        <f t="shared" si="4"/>
        <v>27</v>
      </c>
      <c r="H107" s="28">
        <f t="shared" si="5"/>
        <v>2024</v>
      </c>
      <c r="I107" s="29" t="str">
        <f t="shared" si="6"/>
        <v>Jul</v>
      </c>
      <c r="J107" s="29" t="str">
        <f>_xlfn.XLOOKUP(B107,Branch_Summary!A:A,Branch_Summary!B:B,"Not Found",0)</f>
        <v>Amman Main</v>
      </c>
      <c r="K107" s="29" t="str">
        <f>_xlfn.XLOOKUP(B107,Branch_Summary!A:A,Branch_Summary!C:C,"Not Found",0)</f>
        <v>Deposit</v>
      </c>
      <c r="L107" s="29" t="str">
        <f t="shared" si="7"/>
        <v>Low Value</v>
      </c>
    </row>
    <row r="108" spans="1:12">
      <c r="A108" s="24">
        <v>10076</v>
      </c>
      <c r="B108" s="24" t="s">
        <v>12</v>
      </c>
      <c r="C108" s="24" t="s">
        <v>13</v>
      </c>
      <c r="D108" s="25" t="s">
        <v>26</v>
      </c>
      <c r="E108" s="26">
        <v>2130</v>
      </c>
      <c r="F108" s="27">
        <v>45349</v>
      </c>
      <c r="G108" s="28">
        <f t="shared" si="4"/>
        <v>27</v>
      </c>
      <c r="H108" s="28">
        <f t="shared" si="5"/>
        <v>2024</v>
      </c>
      <c r="I108" s="29" t="str">
        <f t="shared" si="6"/>
        <v>Feb</v>
      </c>
      <c r="J108" s="29" t="str">
        <f>_xlfn.XLOOKUP(B108,Branch_Summary!A:A,Branch_Summary!B:B,"Not Found",0)</f>
        <v>Amman Main</v>
      </c>
      <c r="K108" s="29" t="str">
        <f>_xlfn.XLOOKUP(B108,Branch_Summary!A:A,Branch_Summary!C:C,"Not Found",0)</f>
        <v>Deposit</v>
      </c>
      <c r="L108" s="29" t="str">
        <f t="shared" si="7"/>
        <v>Low Value</v>
      </c>
    </row>
    <row r="109" spans="1:12">
      <c r="A109" s="24">
        <v>10089</v>
      </c>
      <c r="B109" s="24" t="s">
        <v>12</v>
      </c>
      <c r="C109" s="24" t="s">
        <v>13</v>
      </c>
      <c r="D109" s="25" t="s">
        <v>37</v>
      </c>
      <c r="E109" s="26">
        <v>4769</v>
      </c>
      <c r="F109" s="27">
        <v>44432</v>
      </c>
      <c r="G109" s="28">
        <f t="shared" si="4"/>
        <v>24</v>
      </c>
      <c r="H109" s="28">
        <f t="shared" si="5"/>
        <v>2021</v>
      </c>
      <c r="I109" s="29" t="str">
        <f t="shared" si="6"/>
        <v>Aug</v>
      </c>
      <c r="J109" s="29" t="str">
        <f>_xlfn.XLOOKUP(B109,Branch_Summary!A:A,Branch_Summary!B:B,"Not Found",0)</f>
        <v>Amman Main</v>
      </c>
      <c r="K109" s="29" t="str">
        <f>_xlfn.XLOOKUP(B109,Branch_Summary!A:A,Branch_Summary!C:C,"Not Found",0)</f>
        <v>Deposit</v>
      </c>
      <c r="L109" s="29" t="str">
        <f t="shared" si="7"/>
        <v>High Value</v>
      </c>
    </row>
    <row r="110" spans="1:12">
      <c r="A110" s="24">
        <v>10091</v>
      </c>
      <c r="B110" s="24" t="s">
        <v>12</v>
      </c>
      <c r="C110" s="24" t="s">
        <v>13</v>
      </c>
      <c r="D110" s="25" t="s">
        <v>37</v>
      </c>
      <c r="E110" s="26">
        <v>4088</v>
      </c>
      <c r="F110" s="27">
        <v>43848</v>
      </c>
      <c r="G110" s="28">
        <f t="shared" si="4"/>
        <v>18</v>
      </c>
      <c r="H110" s="28">
        <f t="shared" si="5"/>
        <v>2020</v>
      </c>
      <c r="I110" s="29" t="str">
        <f t="shared" si="6"/>
        <v>Jan</v>
      </c>
      <c r="J110" s="29" t="str">
        <f>_xlfn.XLOOKUP(B110,Branch_Summary!A:A,Branch_Summary!B:B,"Not Found",0)</f>
        <v>Amman Main</v>
      </c>
      <c r="K110" s="29" t="str">
        <f>_xlfn.XLOOKUP(B110,Branch_Summary!A:A,Branch_Summary!C:C,"Not Found",0)</f>
        <v>Deposit</v>
      </c>
      <c r="L110" s="29" t="str">
        <f t="shared" si="7"/>
        <v>High Value</v>
      </c>
    </row>
    <row r="111" spans="1:12">
      <c r="A111" s="24">
        <v>10093</v>
      </c>
      <c r="B111" s="24" t="s">
        <v>12</v>
      </c>
      <c r="C111" s="24" t="s">
        <v>13</v>
      </c>
      <c r="D111" s="25" t="s">
        <v>37</v>
      </c>
      <c r="E111" s="26">
        <v>1496</v>
      </c>
      <c r="F111" s="27">
        <v>44742</v>
      </c>
      <c r="G111" s="28">
        <f t="shared" si="4"/>
        <v>30</v>
      </c>
      <c r="H111" s="28">
        <f t="shared" si="5"/>
        <v>2022</v>
      </c>
      <c r="I111" s="29" t="str">
        <f t="shared" si="6"/>
        <v>Jun</v>
      </c>
      <c r="J111" s="29" t="str">
        <f>_xlfn.XLOOKUP(B111,Branch_Summary!A:A,Branch_Summary!B:B,"Not Found",0)</f>
        <v>Amman Main</v>
      </c>
      <c r="K111" s="29" t="str">
        <f>_xlfn.XLOOKUP(B111,Branch_Summary!A:A,Branch_Summary!C:C,"Not Found",0)</f>
        <v>Deposit</v>
      </c>
      <c r="L111" s="29" t="str">
        <f t="shared" si="7"/>
        <v>Low Value</v>
      </c>
    </row>
    <row r="112" spans="1:12">
      <c r="A112" s="24">
        <v>10100</v>
      </c>
      <c r="B112" s="24" t="s">
        <v>12</v>
      </c>
      <c r="C112" s="24" t="s">
        <v>13</v>
      </c>
      <c r="D112" s="25" t="s">
        <v>26</v>
      </c>
      <c r="E112" s="26">
        <v>907</v>
      </c>
      <c r="F112" s="27">
        <v>45099</v>
      </c>
      <c r="G112" s="28">
        <f t="shared" si="4"/>
        <v>22</v>
      </c>
      <c r="H112" s="28">
        <f t="shared" si="5"/>
        <v>2023</v>
      </c>
      <c r="I112" s="29" t="str">
        <f t="shared" si="6"/>
        <v>Jun</v>
      </c>
      <c r="J112" s="29" t="str">
        <f>_xlfn.XLOOKUP(B112,Branch_Summary!A:A,Branch_Summary!B:B,"Not Found",0)</f>
        <v>Amman Main</v>
      </c>
      <c r="K112" s="29" t="str">
        <f>_xlfn.XLOOKUP(B112,Branch_Summary!A:A,Branch_Summary!C:C,"Not Found",0)</f>
        <v>Deposit</v>
      </c>
      <c r="L112" s="29" t="str">
        <f t="shared" si="7"/>
        <v>Low Value</v>
      </c>
    </row>
    <row r="113" spans="1:12">
      <c r="A113" s="24">
        <v>10105</v>
      </c>
      <c r="B113" s="24" t="s">
        <v>12</v>
      </c>
      <c r="C113" s="24" t="s">
        <v>13</v>
      </c>
      <c r="D113" s="25" t="s">
        <v>37</v>
      </c>
      <c r="E113" s="26">
        <v>846</v>
      </c>
      <c r="F113" s="27">
        <v>45039</v>
      </c>
      <c r="G113" s="28">
        <f t="shared" si="4"/>
        <v>23</v>
      </c>
      <c r="H113" s="28">
        <f t="shared" si="5"/>
        <v>2023</v>
      </c>
      <c r="I113" s="29" t="str">
        <f t="shared" si="6"/>
        <v>Apr</v>
      </c>
      <c r="J113" s="29" t="str">
        <f>_xlfn.XLOOKUP(B113,Branch_Summary!A:A,Branch_Summary!B:B,"Not Found",0)</f>
        <v>Amman Main</v>
      </c>
      <c r="K113" s="29" t="str">
        <f>_xlfn.XLOOKUP(B113,Branch_Summary!A:A,Branch_Summary!C:C,"Not Found",0)</f>
        <v>Deposit</v>
      </c>
      <c r="L113" s="29" t="str">
        <f t="shared" si="7"/>
        <v>Low Value</v>
      </c>
    </row>
    <row r="114" spans="1:12">
      <c r="A114" s="24">
        <v>10106</v>
      </c>
      <c r="B114" s="24" t="s">
        <v>12</v>
      </c>
      <c r="C114" s="24" t="s">
        <v>13</v>
      </c>
      <c r="D114" s="25" t="s">
        <v>21</v>
      </c>
      <c r="E114" s="26">
        <v>2824</v>
      </c>
      <c r="F114" s="27">
        <v>44198</v>
      </c>
      <c r="G114" s="28">
        <f t="shared" si="4"/>
        <v>2</v>
      </c>
      <c r="H114" s="28">
        <f t="shared" si="5"/>
        <v>2021</v>
      </c>
      <c r="I114" s="29" t="str">
        <f t="shared" si="6"/>
        <v>Jan</v>
      </c>
      <c r="J114" s="29" t="str">
        <f>_xlfn.XLOOKUP(B114,Branch_Summary!A:A,Branch_Summary!B:B,"Not Found",0)</f>
        <v>Amman Main</v>
      </c>
      <c r="K114" s="29" t="str">
        <f>_xlfn.XLOOKUP(B114,Branch_Summary!A:A,Branch_Summary!C:C,"Not Found",0)</f>
        <v>Deposit</v>
      </c>
      <c r="L114" s="29" t="str">
        <f t="shared" si="7"/>
        <v>Low Value</v>
      </c>
    </row>
    <row r="115" spans="1:12">
      <c r="A115" s="24">
        <v>10119</v>
      </c>
      <c r="B115" s="24" t="s">
        <v>12</v>
      </c>
      <c r="C115" s="24" t="s">
        <v>13</v>
      </c>
      <c r="D115" s="25" t="s">
        <v>37</v>
      </c>
      <c r="E115" s="26">
        <v>2016</v>
      </c>
      <c r="F115" s="27">
        <v>43620</v>
      </c>
      <c r="G115" s="28">
        <f t="shared" si="4"/>
        <v>4</v>
      </c>
      <c r="H115" s="28">
        <f t="shared" si="5"/>
        <v>2019</v>
      </c>
      <c r="I115" s="29" t="str">
        <f t="shared" si="6"/>
        <v>Jun</v>
      </c>
      <c r="J115" s="29" t="str">
        <f>_xlfn.XLOOKUP(B115,Branch_Summary!A:A,Branch_Summary!B:B,"Not Found",0)</f>
        <v>Amman Main</v>
      </c>
      <c r="K115" s="29" t="str">
        <f>_xlfn.XLOOKUP(B115,Branch_Summary!A:A,Branch_Summary!C:C,"Not Found",0)</f>
        <v>Deposit</v>
      </c>
      <c r="L115" s="29" t="str">
        <f t="shared" si="7"/>
        <v>Low Value</v>
      </c>
    </row>
    <row r="116" spans="1:12">
      <c r="A116" s="24">
        <v>10122</v>
      </c>
      <c r="B116" s="24" t="s">
        <v>12</v>
      </c>
      <c r="C116" s="24" t="s">
        <v>13</v>
      </c>
      <c r="D116" s="25" t="s">
        <v>26</v>
      </c>
      <c r="E116" s="26">
        <v>361</v>
      </c>
      <c r="F116" s="27">
        <v>43967</v>
      </c>
      <c r="G116" s="28">
        <f t="shared" si="4"/>
        <v>16</v>
      </c>
      <c r="H116" s="28">
        <f t="shared" si="5"/>
        <v>2020</v>
      </c>
      <c r="I116" s="29" t="str">
        <f t="shared" si="6"/>
        <v>May</v>
      </c>
      <c r="J116" s="29" t="str">
        <f>_xlfn.XLOOKUP(B116,Branch_Summary!A:A,Branch_Summary!B:B,"Not Found",0)</f>
        <v>Amman Main</v>
      </c>
      <c r="K116" s="29" t="str">
        <f>_xlfn.XLOOKUP(B116,Branch_Summary!A:A,Branch_Summary!C:C,"Not Found",0)</f>
        <v>Deposit</v>
      </c>
      <c r="L116" s="29" t="str">
        <f t="shared" si="7"/>
        <v>Low Value</v>
      </c>
    </row>
    <row r="117" spans="1:12">
      <c r="A117" s="24">
        <v>10141</v>
      </c>
      <c r="B117" s="24" t="s">
        <v>12</v>
      </c>
      <c r="C117" s="24" t="s">
        <v>13</v>
      </c>
      <c r="D117" s="25" t="s">
        <v>21</v>
      </c>
      <c r="E117" s="26">
        <v>1493</v>
      </c>
      <c r="F117" s="27">
        <v>45497</v>
      </c>
      <c r="G117" s="28">
        <f t="shared" si="4"/>
        <v>24</v>
      </c>
      <c r="H117" s="28">
        <f t="shared" si="5"/>
        <v>2024</v>
      </c>
      <c r="I117" s="29" t="str">
        <f t="shared" si="6"/>
        <v>Jul</v>
      </c>
      <c r="J117" s="29" t="str">
        <f>_xlfn.XLOOKUP(B117,Branch_Summary!A:A,Branch_Summary!B:B,"Not Found",0)</f>
        <v>Amman Main</v>
      </c>
      <c r="K117" s="29" t="str">
        <f>_xlfn.XLOOKUP(B117,Branch_Summary!A:A,Branch_Summary!C:C,"Not Found",0)</f>
        <v>Deposit</v>
      </c>
      <c r="L117" s="29" t="str">
        <f t="shared" si="7"/>
        <v>Low Value</v>
      </c>
    </row>
    <row r="118" spans="1:12">
      <c r="A118" s="24">
        <v>10170</v>
      </c>
      <c r="B118" s="24" t="s">
        <v>12</v>
      </c>
      <c r="C118" s="24" t="s">
        <v>13</v>
      </c>
      <c r="D118" s="25" t="s">
        <v>37</v>
      </c>
      <c r="E118" s="26">
        <v>2979</v>
      </c>
      <c r="F118" s="27">
        <v>44306</v>
      </c>
      <c r="G118" s="28">
        <f t="shared" si="4"/>
        <v>20</v>
      </c>
      <c r="H118" s="28">
        <f t="shared" si="5"/>
        <v>2021</v>
      </c>
      <c r="I118" s="29" t="str">
        <f t="shared" si="6"/>
        <v>Apr</v>
      </c>
      <c r="J118" s="29" t="str">
        <f>_xlfn.XLOOKUP(B118,Branch_Summary!A:A,Branch_Summary!B:B,"Not Found",0)</f>
        <v>Amman Main</v>
      </c>
      <c r="K118" s="29" t="str">
        <f>_xlfn.XLOOKUP(B118,Branch_Summary!A:A,Branch_Summary!C:C,"Not Found",0)</f>
        <v>Deposit</v>
      </c>
      <c r="L118" s="29" t="str">
        <f t="shared" si="7"/>
        <v>Low Value</v>
      </c>
    </row>
    <row r="119" spans="1:12">
      <c r="A119" s="24">
        <v>10180</v>
      </c>
      <c r="B119" s="24" t="s">
        <v>12</v>
      </c>
      <c r="C119" s="24" t="s">
        <v>13</v>
      </c>
      <c r="D119" s="25" t="s">
        <v>21</v>
      </c>
      <c r="E119" s="26">
        <v>487</v>
      </c>
      <c r="F119" s="27">
        <v>43816</v>
      </c>
      <c r="G119" s="28">
        <f t="shared" si="4"/>
        <v>17</v>
      </c>
      <c r="H119" s="28">
        <f t="shared" si="5"/>
        <v>2019</v>
      </c>
      <c r="I119" s="29" t="str">
        <f t="shared" si="6"/>
        <v>Dec</v>
      </c>
      <c r="J119" s="29" t="str">
        <f>_xlfn.XLOOKUP(B119,Branch_Summary!A:A,Branch_Summary!B:B,"Not Found",0)</f>
        <v>Amman Main</v>
      </c>
      <c r="K119" s="29" t="str">
        <f>_xlfn.XLOOKUP(B119,Branch_Summary!A:A,Branch_Summary!C:C,"Not Found",0)</f>
        <v>Deposit</v>
      </c>
      <c r="L119" s="29" t="str">
        <f t="shared" si="7"/>
        <v>Low Value</v>
      </c>
    </row>
    <row r="120" spans="1:12">
      <c r="A120" s="24">
        <v>10191</v>
      </c>
      <c r="B120" s="24" t="s">
        <v>12</v>
      </c>
      <c r="C120" s="24" t="s">
        <v>13</v>
      </c>
      <c r="D120" s="25" t="s">
        <v>26</v>
      </c>
      <c r="E120" s="26">
        <v>4646</v>
      </c>
      <c r="F120" s="27">
        <v>45452</v>
      </c>
      <c r="G120" s="28">
        <f t="shared" si="4"/>
        <v>9</v>
      </c>
      <c r="H120" s="28">
        <f t="shared" si="5"/>
        <v>2024</v>
      </c>
      <c r="I120" s="29" t="str">
        <f t="shared" si="6"/>
        <v>Jun</v>
      </c>
      <c r="J120" s="29" t="str">
        <f>_xlfn.XLOOKUP(B120,Branch_Summary!A:A,Branch_Summary!B:B,"Not Found",0)</f>
        <v>Amman Main</v>
      </c>
      <c r="K120" s="29" t="str">
        <f>_xlfn.XLOOKUP(B120,Branch_Summary!A:A,Branch_Summary!C:C,"Not Found",0)</f>
        <v>Deposit</v>
      </c>
      <c r="L120" s="29" t="str">
        <f t="shared" si="7"/>
        <v>High Value</v>
      </c>
    </row>
    <row r="121" spans="1:12">
      <c r="A121" s="24">
        <v>10194</v>
      </c>
      <c r="B121" s="24" t="s">
        <v>12</v>
      </c>
      <c r="C121" s="24" t="s">
        <v>13</v>
      </c>
      <c r="D121" s="25" t="s">
        <v>37</v>
      </c>
      <c r="E121" s="26">
        <v>4622</v>
      </c>
      <c r="F121" s="27">
        <v>43971</v>
      </c>
      <c r="G121" s="28">
        <f t="shared" si="4"/>
        <v>20</v>
      </c>
      <c r="H121" s="28">
        <f t="shared" si="5"/>
        <v>2020</v>
      </c>
      <c r="I121" s="29" t="str">
        <f t="shared" si="6"/>
        <v>May</v>
      </c>
      <c r="J121" s="29" t="str">
        <f>_xlfn.XLOOKUP(B121,Branch_Summary!A:A,Branch_Summary!B:B,"Not Found",0)</f>
        <v>Amman Main</v>
      </c>
      <c r="K121" s="29" t="str">
        <f>_xlfn.XLOOKUP(B121,Branch_Summary!A:A,Branch_Summary!C:C,"Not Found",0)</f>
        <v>Deposit</v>
      </c>
      <c r="L121" s="29" t="str">
        <f t="shared" si="7"/>
        <v>High Value</v>
      </c>
    </row>
    <row r="122" spans="1:12">
      <c r="A122" s="24">
        <v>10196</v>
      </c>
      <c r="B122" s="24" t="s">
        <v>12</v>
      </c>
      <c r="C122" s="24" t="s">
        <v>13</v>
      </c>
      <c r="D122" s="25" t="s">
        <v>37</v>
      </c>
      <c r="E122" s="26">
        <v>922</v>
      </c>
      <c r="F122" s="27">
        <v>43712</v>
      </c>
      <c r="G122" s="28">
        <f t="shared" si="4"/>
        <v>4</v>
      </c>
      <c r="H122" s="28">
        <f t="shared" si="5"/>
        <v>2019</v>
      </c>
      <c r="I122" s="29" t="str">
        <f t="shared" si="6"/>
        <v>Sep</v>
      </c>
      <c r="J122" s="29" t="str">
        <f>_xlfn.XLOOKUP(B122,Branch_Summary!A:A,Branch_Summary!B:B,"Not Found",0)</f>
        <v>Amman Main</v>
      </c>
      <c r="K122" s="29" t="str">
        <f>_xlfn.XLOOKUP(B122,Branch_Summary!A:A,Branch_Summary!C:C,"Not Found",0)</f>
        <v>Deposit</v>
      </c>
      <c r="L122" s="29" t="str">
        <f t="shared" si="7"/>
        <v>Low Value</v>
      </c>
    </row>
    <row r="123" spans="1:12">
      <c r="A123" s="24">
        <v>10214</v>
      </c>
      <c r="B123" s="24" t="s">
        <v>12</v>
      </c>
      <c r="C123" s="24" t="s">
        <v>13</v>
      </c>
      <c r="D123" s="25" t="s">
        <v>26</v>
      </c>
      <c r="E123" s="26">
        <v>2809</v>
      </c>
      <c r="F123" s="27">
        <v>45558</v>
      </c>
      <c r="G123" s="28">
        <f t="shared" si="4"/>
        <v>23</v>
      </c>
      <c r="H123" s="28">
        <f t="shared" si="5"/>
        <v>2024</v>
      </c>
      <c r="I123" s="29" t="str">
        <f t="shared" si="6"/>
        <v>Sep</v>
      </c>
      <c r="J123" s="29" t="str">
        <f>_xlfn.XLOOKUP(B123,Branch_Summary!A:A,Branch_Summary!B:B,"Not Found",0)</f>
        <v>Amman Main</v>
      </c>
      <c r="K123" s="29" t="str">
        <f>_xlfn.XLOOKUP(B123,Branch_Summary!A:A,Branch_Summary!C:C,"Not Found",0)</f>
        <v>Deposit</v>
      </c>
      <c r="L123" s="29" t="str">
        <f t="shared" si="7"/>
        <v>Low Value</v>
      </c>
    </row>
    <row r="124" spans="1:12">
      <c r="A124" s="24">
        <v>10217</v>
      </c>
      <c r="B124" s="24" t="s">
        <v>12</v>
      </c>
      <c r="C124" s="24" t="s">
        <v>13</v>
      </c>
      <c r="D124" s="25" t="s">
        <v>21</v>
      </c>
      <c r="E124" s="26">
        <v>305</v>
      </c>
      <c r="F124" s="27">
        <v>44757</v>
      </c>
      <c r="G124" s="28">
        <f t="shared" si="4"/>
        <v>15</v>
      </c>
      <c r="H124" s="28">
        <f t="shared" si="5"/>
        <v>2022</v>
      </c>
      <c r="I124" s="29" t="str">
        <f t="shared" si="6"/>
        <v>Jul</v>
      </c>
      <c r="J124" s="29" t="str">
        <f>_xlfn.XLOOKUP(B124,Branch_Summary!A:A,Branch_Summary!B:B,"Not Found",0)</f>
        <v>Amman Main</v>
      </c>
      <c r="K124" s="29" t="str">
        <f>_xlfn.XLOOKUP(B124,Branch_Summary!A:A,Branch_Summary!C:C,"Not Found",0)</f>
        <v>Deposit</v>
      </c>
      <c r="L124" s="29" t="str">
        <f t="shared" si="7"/>
        <v>Low Value</v>
      </c>
    </row>
    <row r="125" spans="1:12">
      <c r="A125" s="24">
        <v>10030</v>
      </c>
      <c r="B125" s="24" t="s">
        <v>35</v>
      </c>
      <c r="C125" s="24" t="s">
        <v>36</v>
      </c>
      <c r="D125" s="25" t="s">
        <v>26</v>
      </c>
      <c r="E125" s="26">
        <v>1758</v>
      </c>
      <c r="F125" s="27">
        <v>44659</v>
      </c>
      <c r="G125" s="28">
        <f t="shared" si="4"/>
        <v>8</v>
      </c>
      <c r="H125" s="28">
        <f t="shared" si="5"/>
        <v>2022</v>
      </c>
      <c r="I125" s="29" t="str">
        <f t="shared" si="6"/>
        <v>Apr</v>
      </c>
      <c r="J125" s="29" t="str">
        <f>_xlfn.XLOOKUP(B125,Branch_Summary!A:A,Branch_Summary!B:B,"Not Found",0)</f>
        <v>Amman Main</v>
      </c>
      <c r="K125" s="29" t="str">
        <f>_xlfn.XLOOKUP(B125,Branch_Summary!A:A,Branch_Summary!C:C,"Not Found",0)</f>
        <v>Withdrawal</v>
      </c>
      <c r="L125" s="29" t="str">
        <f t="shared" si="7"/>
        <v>Low Value</v>
      </c>
    </row>
    <row r="126" spans="1:12">
      <c r="A126" s="24">
        <v>10081</v>
      </c>
      <c r="B126" s="24" t="s">
        <v>35</v>
      </c>
      <c r="C126" s="24" t="s">
        <v>36</v>
      </c>
      <c r="D126" s="25" t="s">
        <v>26</v>
      </c>
      <c r="E126" s="26">
        <v>954</v>
      </c>
      <c r="F126" s="27">
        <v>43626</v>
      </c>
      <c r="G126" s="28">
        <f t="shared" si="4"/>
        <v>10</v>
      </c>
      <c r="H126" s="28">
        <f t="shared" si="5"/>
        <v>2019</v>
      </c>
      <c r="I126" s="29" t="str">
        <f t="shared" si="6"/>
        <v>Jun</v>
      </c>
      <c r="J126" s="29" t="str">
        <f>_xlfn.XLOOKUP(B126,Branch_Summary!A:A,Branch_Summary!B:B,"Not Found",0)</f>
        <v>Amman Main</v>
      </c>
      <c r="K126" s="29" t="str">
        <f>_xlfn.XLOOKUP(B126,Branch_Summary!A:A,Branch_Summary!C:C,"Not Found",0)</f>
        <v>Withdrawal</v>
      </c>
      <c r="L126" s="29" t="str">
        <f t="shared" si="7"/>
        <v>Low Value</v>
      </c>
    </row>
    <row r="127" spans="1:12">
      <c r="A127" s="24">
        <v>10098</v>
      </c>
      <c r="B127" s="24" t="s">
        <v>35</v>
      </c>
      <c r="C127" s="24" t="s">
        <v>36</v>
      </c>
      <c r="D127" s="25" t="s">
        <v>37</v>
      </c>
      <c r="E127" s="26">
        <v>3337</v>
      </c>
      <c r="F127" s="27">
        <v>43800</v>
      </c>
      <c r="G127" s="28">
        <f t="shared" si="4"/>
        <v>1</v>
      </c>
      <c r="H127" s="28">
        <f t="shared" si="5"/>
        <v>2019</v>
      </c>
      <c r="I127" s="29" t="str">
        <f t="shared" si="6"/>
        <v>Dec</v>
      </c>
      <c r="J127" s="29" t="str">
        <f>_xlfn.XLOOKUP(B127,Branch_Summary!A:A,Branch_Summary!B:B,"Not Found",0)</f>
        <v>Amman Main</v>
      </c>
      <c r="K127" s="29" t="str">
        <f>_xlfn.XLOOKUP(B127,Branch_Summary!A:A,Branch_Summary!C:C,"Not Found",0)</f>
        <v>Withdrawal</v>
      </c>
      <c r="L127" s="29" t="str">
        <f t="shared" si="7"/>
        <v>Low Value</v>
      </c>
    </row>
    <row r="128" spans="1:12">
      <c r="A128" s="24">
        <v>10099</v>
      </c>
      <c r="B128" s="24" t="s">
        <v>35</v>
      </c>
      <c r="C128" s="24" t="s">
        <v>36</v>
      </c>
      <c r="D128" s="25" t="s">
        <v>26</v>
      </c>
      <c r="E128" s="26">
        <v>3454</v>
      </c>
      <c r="F128" s="27">
        <v>45571</v>
      </c>
      <c r="G128" s="28">
        <f t="shared" si="4"/>
        <v>6</v>
      </c>
      <c r="H128" s="28">
        <f t="shared" si="5"/>
        <v>2024</v>
      </c>
      <c r="I128" s="29" t="str">
        <f t="shared" si="6"/>
        <v>Oct</v>
      </c>
      <c r="J128" s="29" t="str">
        <f>_xlfn.XLOOKUP(B128,Branch_Summary!A:A,Branch_Summary!B:B,"Not Found",0)</f>
        <v>Amman Main</v>
      </c>
      <c r="K128" s="29" t="str">
        <f>_xlfn.XLOOKUP(B128,Branch_Summary!A:A,Branch_Summary!C:C,"Not Found",0)</f>
        <v>Withdrawal</v>
      </c>
      <c r="L128" s="29" t="str">
        <f t="shared" si="7"/>
        <v>Low Value</v>
      </c>
    </row>
    <row r="129" spans="1:12">
      <c r="A129" s="24">
        <v>10114</v>
      </c>
      <c r="B129" s="24" t="s">
        <v>35</v>
      </c>
      <c r="C129" s="24" t="s">
        <v>36</v>
      </c>
      <c r="D129" s="25" t="s">
        <v>37</v>
      </c>
      <c r="E129" s="26">
        <v>4159</v>
      </c>
      <c r="F129" s="27">
        <v>45623</v>
      </c>
      <c r="G129" s="28">
        <f t="shared" si="4"/>
        <v>27</v>
      </c>
      <c r="H129" s="28">
        <f t="shared" si="5"/>
        <v>2024</v>
      </c>
      <c r="I129" s="29" t="str">
        <f t="shared" si="6"/>
        <v>Nov</v>
      </c>
      <c r="J129" s="29" t="str">
        <f>_xlfn.XLOOKUP(B129,Branch_Summary!A:A,Branch_Summary!B:B,"Not Found",0)</f>
        <v>Amman Main</v>
      </c>
      <c r="K129" s="29" t="str">
        <f>_xlfn.XLOOKUP(B129,Branch_Summary!A:A,Branch_Summary!C:C,"Not Found",0)</f>
        <v>Withdrawal</v>
      </c>
      <c r="L129" s="29" t="str">
        <f t="shared" si="7"/>
        <v>High Value</v>
      </c>
    </row>
    <row r="130" spans="1:12">
      <c r="A130" s="24">
        <v>10118</v>
      </c>
      <c r="B130" s="24" t="s">
        <v>35</v>
      </c>
      <c r="C130" s="24" t="s">
        <v>36</v>
      </c>
      <c r="D130" s="25" t="s">
        <v>37</v>
      </c>
      <c r="E130" s="26">
        <v>3039</v>
      </c>
      <c r="F130" s="27">
        <v>45328</v>
      </c>
      <c r="G130" s="28">
        <f t="shared" ref="G130:G193" si="8">DAY(F130)</f>
        <v>6</v>
      </c>
      <c r="H130" s="28">
        <f t="shared" ref="H130:H193" si="9">YEAR(F130)</f>
        <v>2024</v>
      </c>
      <c r="I130" s="29" t="str">
        <f t="shared" ref="I130:I193" si="10">TEXT(F130,"mmm")</f>
        <v>Feb</v>
      </c>
      <c r="J130" s="29" t="str">
        <f>_xlfn.XLOOKUP(B130,Branch_Summary!A:A,Branch_Summary!B:B,"Not Found",0)</f>
        <v>Amman Main</v>
      </c>
      <c r="K130" s="29" t="str">
        <f>_xlfn.XLOOKUP(B130,Branch_Summary!A:A,Branch_Summary!C:C,"Not Found",0)</f>
        <v>Withdrawal</v>
      </c>
      <c r="L130" s="29" t="str">
        <f t="shared" si="7"/>
        <v>Low Value</v>
      </c>
    </row>
    <row r="131" spans="1:12">
      <c r="A131" s="24">
        <v>10130</v>
      </c>
      <c r="B131" s="24" t="s">
        <v>35</v>
      </c>
      <c r="C131" s="24" t="s">
        <v>36</v>
      </c>
      <c r="D131" s="25" t="s">
        <v>37</v>
      </c>
      <c r="E131" s="26">
        <v>3091</v>
      </c>
      <c r="F131" s="27">
        <v>43468</v>
      </c>
      <c r="G131" s="28">
        <f t="shared" si="8"/>
        <v>3</v>
      </c>
      <c r="H131" s="28">
        <f t="shared" si="9"/>
        <v>2019</v>
      </c>
      <c r="I131" s="29" t="str">
        <f t="shared" si="10"/>
        <v>Jan</v>
      </c>
      <c r="J131" s="29" t="str">
        <f>_xlfn.XLOOKUP(B131,Branch_Summary!A:A,Branch_Summary!B:B,"Not Found",0)</f>
        <v>Amman Main</v>
      </c>
      <c r="K131" s="29" t="str">
        <f>_xlfn.XLOOKUP(B131,Branch_Summary!A:A,Branch_Summary!C:C,"Not Found",0)</f>
        <v>Withdrawal</v>
      </c>
      <c r="L131" s="29" t="str">
        <f t="shared" ref="L131:L194" si="11">IF(E131&gt;4000,"High Value","Low Value")</f>
        <v>Low Value</v>
      </c>
    </row>
    <row r="132" spans="1:12">
      <c r="A132" s="24">
        <v>10137</v>
      </c>
      <c r="B132" s="24" t="s">
        <v>35</v>
      </c>
      <c r="C132" s="24" t="s">
        <v>36</v>
      </c>
      <c r="D132" s="25" t="s">
        <v>37</v>
      </c>
      <c r="E132" s="26">
        <v>2741</v>
      </c>
      <c r="F132" s="27">
        <v>44651</v>
      </c>
      <c r="G132" s="28">
        <f t="shared" si="8"/>
        <v>31</v>
      </c>
      <c r="H132" s="28">
        <f t="shared" si="9"/>
        <v>2022</v>
      </c>
      <c r="I132" s="29" t="str">
        <f t="shared" si="10"/>
        <v>Mar</v>
      </c>
      <c r="J132" s="29" t="str">
        <f>_xlfn.XLOOKUP(B132,Branch_Summary!A:A,Branch_Summary!B:B,"Not Found",0)</f>
        <v>Amman Main</v>
      </c>
      <c r="K132" s="29" t="str">
        <f>_xlfn.XLOOKUP(B132,Branch_Summary!A:A,Branch_Summary!C:C,"Not Found",0)</f>
        <v>Withdrawal</v>
      </c>
      <c r="L132" s="29" t="str">
        <f t="shared" si="11"/>
        <v>Low Value</v>
      </c>
    </row>
    <row r="133" spans="1:12">
      <c r="A133" s="24">
        <v>10139</v>
      </c>
      <c r="B133" s="24" t="s">
        <v>35</v>
      </c>
      <c r="C133" s="24" t="s">
        <v>36</v>
      </c>
      <c r="D133" s="25" t="s">
        <v>21</v>
      </c>
      <c r="E133" s="26">
        <v>3043</v>
      </c>
      <c r="F133" s="27">
        <v>44742</v>
      </c>
      <c r="G133" s="28">
        <f t="shared" si="8"/>
        <v>30</v>
      </c>
      <c r="H133" s="28">
        <f t="shared" si="9"/>
        <v>2022</v>
      </c>
      <c r="I133" s="29" t="str">
        <f t="shared" si="10"/>
        <v>Jun</v>
      </c>
      <c r="J133" s="29" t="str">
        <f>_xlfn.XLOOKUP(B133,Branch_Summary!A:A,Branch_Summary!B:B,"Not Found",0)</f>
        <v>Amman Main</v>
      </c>
      <c r="K133" s="29" t="str">
        <f>_xlfn.XLOOKUP(B133,Branch_Summary!A:A,Branch_Summary!C:C,"Not Found",0)</f>
        <v>Withdrawal</v>
      </c>
      <c r="L133" s="29" t="str">
        <f t="shared" si="11"/>
        <v>Low Value</v>
      </c>
    </row>
    <row r="134" spans="1:12">
      <c r="A134" s="24">
        <v>10147</v>
      </c>
      <c r="B134" s="24" t="s">
        <v>35</v>
      </c>
      <c r="C134" s="24" t="s">
        <v>36</v>
      </c>
      <c r="D134" s="25" t="s">
        <v>26</v>
      </c>
      <c r="E134" s="26">
        <v>2846</v>
      </c>
      <c r="F134" s="27">
        <v>45240</v>
      </c>
      <c r="G134" s="28">
        <f t="shared" si="8"/>
        <v>10</v>
      </c>
      <c r="H134" s="28">
        <f t="shared" si="9"/>
        <v>2023</v>
      </c>
      <c r="I134" s="29" t="str">
        <f t="shared" si="10"/>
        <v>Nov</v>
      </c>
      <c r="J134" s="29" t="str">
        <f>_xlfn.XLOOKUP(B134,Branch_Summary!A:A,Branch_Summary!B:B,"Not Found",0)</f>
        <v>Amman Main</v>
      </c>
      <c r="K134" s="29" t="str">
        <f>_xlfn.XLOOKUP(B134,Branch_Summary!A:A,Branch_Summary!C:C,"Not Found",0)</f>
        <v>Withdrawal</v>
      </c>
      <c r="L134" s="29" t="str">
        <f t="shared" si="11"/>
        <v>Low Value</v>
      </c>
    </row>
    <row r="135" spans="1:12">
      <c r="A135" s="24">
        <v>10206</v>
      </c>
      <c r="B135" s="24" t="s">
        <v>35</v>
      </c>
      <c r="C135" s="24" t="s">
        <v>36</v>
      </c>
      <c r="D135" s="25" t="s">
        <v>21</v>
      </c>
      <c r="E135" s="26">
        <v>696</v>
      </c>
      <c r="F135" s="27">
        <v>44851</v>
      </c>
      <c r="G135" s="28">
        <f t="shared" si="8"/>
        <v>17</v>
      </c>
      <c r="H135" s="28">
        <f t="shared" si="9"/>
        <v>2022</v>
      </c>
      <c r="I135" s="29" t="str">
        <f t="shared" si="10"/>
        <v>Oct</v>
      </c>
      <c r="J135" s="29" t="str">
        <f>_xlfn.XLOOKUP(B135,Branch_Summary!A:A,Branch_Summary!B:B,"Not Found",0)</f>
        <v>Amman Main</v>
      </c>
      <c r="K135" s="29" t="str">
        <f>_xlfn.XLOOKUP(B135,Branch_Summary!A:A,Branch_Summary!C:C,"Not Found",0)</f>
        <v>Withdrawal</v>
      </c>
      <c r="L135" s="29" t="str">
        <f t="shared" si="11"/>
        <v>Low Value</v>
      </c>
    </row>
    <row r="136" spans="1:12">
      <c r="A136" s="24">
        <v>10218</v>
      </c>
      <c r="B136" s="24" t="s">
        <v>35</v>
      </c>
      <c r="C136" s="24" t="s">
        <v>36</v>
      </c>
      <c r="D136" s="25" t="s">
        <v>37</v>
      </c>
      <c r="E136" s="26">
        <v>2616</v>
      </c>
      <c r="F136" s="27">
        <v>43847</v>
      </c>
      <c r="G136" s="28">
        <f t="shared" si="8"/>
        <v>17</v>
      </c>
      <c r="H136" s="28">
        <f t="shared" si="9"/>
        <v>2020</v>
      </c>
      <c r="I136" s="29" t="str">
        <f t="shared" si="10"/>
        <v>Jan</v>
      </c>
      <c r="J136" s="29" t="str">
        <f>_xlfn.XLOOKUP(B136,Branch_Summary!A:A,Branch_Summary!B:B,"Not Found",0)</f>
        <v>Amman Main</v>
      </c>
      <c r="K136" s="29" t="str">
        <f>_xlfn.XLOOKUP(B136,Branch_Summary!A:A,Branch_Summary!C:C,"Not Found",0)</f>
        <v>Withdrawal</v>
      </c>
      <c r="L136" s="29" t="str">
        <f t="shared" si="11"/>
        <v>Low Value</v>
      </c>
    </row>
    <row r="137" spans="1:12">
      <c r="A137" s="24">
        <v>10221</v>
      </c>
      <c r="B137" s="24" t="s">
        <v>35</v>
      </c>
      <c r="C137" s="24" t="s">
        <v>36</v>
      </c>
      <c r="D137" s="25" t="s">
        <v>26</v>
      </c>
      <c r="E137" s="26">
        <v>1526</v>
      </c>
      <c r="F137" s="27">
        <v>44193</v>
      </c>
      <c r="G137" s="28">
        <f t="shared" si="8"/>
        <v>28</v>
      </c>
      <c r="H137" s="28">
        <f t="shared" si="9"/>
        <v>2020</v>
      </c>
      <c r="I137" s="29" t="str">
        <f t="shared" si="10"/>
        <v>Dec</v>
      </c>
      <c r="J137" s="29" t="str">
        <f>_xlfn.XLOOKUP(B137,Branch_Summary!A:A,Branch_Summary!B:B,"Not Found",0)</f>
        <v>Amman Main</v>
      </c>
      <c r="K137" s="29" t="str">
        <f>_xlfn.XLOOKUP(B137,Branch_Summary!A:A,Branch_Summary!C:C,"Not Found",0)</f>
        <v>Withdrawal</v>
      </c>
      <c r="L137" s="29" t="str">
        <f t="shared" si="11"/>
        <v>Low Value</v>
      </c>
    </row>
    <row r="138" spans="1:12">
      <c r="A138" s="24">
        <v>10250</v>
      </c>
      <c r="B138" s="24" t="s">
        <v>35</v>
      </c>
      <c r="C138" s="24" t="s">
        <v>36</v>
      </c>
      <c r="D138" s="25" t="s">
        <v>26</v>
      </c>
      <c r="E138" s="26">
        <v>1139</v>
      </c>
      <c r="F138" s="27">
        <v>44397</v>
      </c>
      <c r="G138" s="28">
        <f t="shared" si="8"/>
        <v>20</v>
      </c>
      <c r="H138" s="28">
        <f t="shared" si="9"/>
        <v>2021</v>
      </c>
      <c r="I138" s="29" t="str">
        <f t="shared" si="10"/>
        <v>Jul</v>
      </c>
      <c r="J138" s="29" t="str">
        <f>_xlfn.XLOOKUP(B138,Branch_Summary!A:A,Branch_Summary!B:B,"Not Found",0)</f>
        <v>Amman Main</v>
      </c>
      <c r="K138" s="29" t="str">
        <f>_xlfn.XLOOKUP(B138,Branch_Summary!A:A,Branch_Summary!C:C,"Not Found",0)</f>
        <v>Withdrawal</v>
      </c>
      <c r="L138" s="29" t="str">
        <f t="shared" si="11"/>
        <v>Low Value</v>
      </c>
    </row>
    <row r="139" spans="1:12">
      <c r="A139" s="24">
        <v>10011</v>
      </c>
      <c r="B139" s="24" t="s">
        <v>27</v>
      </c>
      <c r="C139" s="24" t="s">
        <v>28</v>
      </c>
      <c r="D139" s="25" t="s">
        <v>37</v>
      </c>
      <c r="E139" s="26">
        <v>2104</v>
      </c>
      <c r="F139" s="27">
        <v>44153</v>
      </c>
      <c r="G139" s="28">
        <f t="shared" si="8"/>
        <v>18</v>
      </c>
      <c r="H139" s="28">
        <f t="shared" si="9"/>
        <v>2020</v>
      </c>
      <c r="I139" s="29" t="str">
        <f t="shared" si="10"/>
        <v>Nov</v>
      </c>
      <c r="J139" s="29" t="str">
        <f>_xlfn.XLOOKUP(B139,Branch_Summary!A:A,Branch_Summary!B:B,"Not Found",0)</f>
        <v>Amman Main</v>
      </c>
      <c r="K139" s="29" t="str">
        <f>_xlfn.XLOOKUP(B139,Branch_Summary!A:A,Branch_Summary!C:C,"Not Found",0)</f>
        <v>deposit</v>
      </c>
      <c r="L139" s="29" t="str">
        <f t="shared" si="11"/>
        <v>Low Value</v>
      </c>
    </row>
    <row r="140" spans="1:12">
      <c r="A140" s="24">
        <v>10032</v>
      </c>
      <c r="B140" s="24" t="s">
        <v>27</v>
      </c>
      <c r="C140" s="24" t="s">
        <v>28</v>
      </c>
      <c r="D140" s="25" t="s">
        <v>21</v>
      </c>
      <c r="E140" s="26">
        <v>677</v>
      </c>
      <c r="F140" s="27">
        <v>43706</v>
      </c>
      <c r="G140" s="28">
        <f t="shared" si="8"/>
        <v>29</v>
      </c>
      <c r="H140" s="28">
        <f t="shared" si="9"/>
        <v>2019</v>
      </c>
      <c r="I140" s="29" t="str">
        <f t="shared" si="10"/>
        <v>Aug</v>
      </c>
      <c r="J140" s="29" t="str">
        <f>_xlfn.XLOOKUP(B140,Branch_Summary!A:A,Branch_Summary!B:B,"Not Found",0)</f>
        <v>Amman Main</v>
      </c>
      <c r="K140" s="29" t="str">
        <f>_xlfn.XLOOKUP(B140,Branch_Summary!A:A,Branch_Summary!C:C,"Not Found",0)</f>
        <v>deposit</v>
      </c>
      <c r="L140" s="29" t="str">
        <f t="shared" si="11"/>
        <v>Low Value</v>
      </c>
    </row>
    <row r="141" spans="1:12">
      <c r="A141" s="24">
        <v>10045</v>
      </c>
      <c r="B141" s="24" t="s">
        <v>27</v>
      </c>
      <c r="C141" s="24" t="s">
        <v>28</v>
      </c>
      <c r="D141" s="25" t="s">
        <v>37</v>
      </c>
      <c r="E141" s="26">
        <v>1497</v>
      </c>
      <c r="F141" s="27">
        <v>45469</v>
      </c>
      <c r="G141" s="28">
        <f t="shared" si="8"/>
        <v>26</v>
      </c>
      <c r="H141" s="28">
        <f t="shared" si="9"/>
        <v>2024</v>
      </c>
      <c r="I141" s="29" t="str">
        <f t="shared" si="10"/>
        <v>Jun</v>
      </c>
      <c r="J141" s="29" t="str">
        <f>_xlfn.XLOOKUP(B141,Branch_Summary!A:A,Branch_Summary!B:B,"Not Found",0)</f>
        <v>Amman Main</v>
      </c>
      <c r="K141" s="29" t="str">
        <f>_xlfn.XLOOKUP(B141,Branch_Summary!A:A,Branch_Summary!C:C,"Not Found",0)</f>
        <v>deposit</v>
      </c>
      <c r="L141" s="29" t="str">
        <f t="shared" si="11"/>
        <v>Low Value</v>
      </c>
    </row>
    <row r="142" spans="1:12">
      <c r="A142" s="24">
        <v>10052</v>
      </c>
      <c r="B142" s="24" t="s">
        <v>27</v>
      </c>
      <c r="C142" s="24" t="s">
        <v>28</v>
      </c>
      <c r="D142" s="25" t="s">
        <v>37</v>
      </c>
      <c r="E142" s="26">
        <v>4466</v>
      </c>
      <c r="F142" s="27">
        <v>44130</v>
      </c>
      <c r="G142" s="28">
        <f t="shared" si="8"/>
        <v>26</v>
      </c>
      <c r="H142" s="28">
        <f t="shared" si="9"/>
        <v>2020</v>
      </c>
      <c r="I142" s="29" t="str">
        <f t="shared" si="10"/>
        <v>Oct</v>
      </c>
      <c r="J142" s="29" t="str">
        <f>_xlfn.XLOOKUP(B142,Branch_Summary!A:A,Branch_Summary!B:B,"Not Found",0)</f>
        <v>Amman Main</v>
      </c>
      <c r="K142" s="29" t="str">
        <f>_xlfn.XLOOKUP(B142,Branch_Summary!A:A,Branch_Summary!C:C,"Not Found",0)</f>
        <v>deposit</v>
      </c>
      <c r="L142" s="29" t="str">
        <f t="shared" si="11"/>
        <v>High Value</v>
      </c>
    </row>
    <row r="143" spans="1:12">
      <c r="A143" s="24">
        <v>10053</v>
      </c>
      <c r="B143" s="24" t="s">
        <v>27</v>
      </c>
      <c r="C143" s="24" t="s">
        <v>28</v>
      </c>
      <c r="D143" s="25" t="s">
        <v>21</v>
      </c>
      <c r="E143" s="26">
        <v>3283</v>
      </c>
      <c r="F143" s="27">
        <v>43971</v>
      </c>
      <c r="G143" s="28">
        <f t="shared" si="8"/>
        <v>20</v>
      </c>
      <c r="H143" s="28">
        <f t="shared" si="9"/>
        <v>2020</v>
      </c>
      <c r="I143" s="29" t="str">
        <f t="shared" si="10"/>
        <v>May</v>
      </c>
      <c r="J143" s="29" t="str">
        <f>_xlfn.XLOOKUP(B143,Branch_Summary!A:A,Branch_Summary!B:B,"Not Found",0)</f>
        <v>Amman Main</v>
      </c>
      <c r="K143" s="29" t="str">
        <f>_xlfn.XLOOKUP(B143,Branch_Summary!A:A,Branch_Summary!C:C,"Not Found",0)</f>
        <v>deposit</v>
      </c>
      <c r="L143" s="29" t="str">
        <f t="shared" si="11"/>
        <v>Low Value</v>
      </c>
    </row>
    <row r="144" spans="1:12">
      <c r="A144" s="24">
        <v>10056</v>
      </c>
      <c r="B144" s="24" t="s">
        <v>27</v>
      </c>
      <c r="C144" s="24" t="s">
        <v>28</v>
      </c>
      <c r="D144" s="25" t="s">
        <v>37</v>
      </c>
      <c r="E144" s="26">
        <v>1798</v>
      </c>
      <c r="F144" s="27">
        <v>44213</v>
      </c>
      <c r="G144" s="28">
        <f t="shared" si="8"/>
        <v>17</v>
      </c>
      <c r="H144" s="28">
        <f t="shared" si="9"/>
        <v>2021</v>
      </c>
      <c r="I144" s="29" t="str">
        <f t="shared" si="10"/>
        <v>Jan</v>
      </c>
      <c r="J144" s="29" t="str">
        <f>_xlfn.XLOOKUP(B144,Branch_Summary!A:A,Branch_Summary!B:B,"Not Found",0)</f>
        <v>Amman Main</v>
      </c>
      <c r="K144" s="29" t="str">
        <f>_xlfn.XLOOKUP(B144,Branch_Summary!A:A,Branch_Summary!C:C,"Not Found",0)</f>
        <v>deposit</v>
      </c>
      <c r="L144" s="29" t="str">
        <f t="shared" si="11"/>
        <v>Low Value</v>
      </c>
    </row>
    <row r="145" spans="1:12">
      <c r="A145" s="24">
        <v>10058</v>
      </c>
      <c r="B145" s="24" t="s">
        <v>27</v>
      </c>
      <c r="C145" s="24" t="s">
        <v>28</v>
      </c>
      <c r="D145" s="25" t="s">
        <v>21</v>
      </c>
      <c r="E145" s="26">
        <v>3127</v>
      </c>
      <c r="F145" s="27">
        <v>45028</v>
      </c>
      <c r="G145" s="28">
        <f t="shared" si="8"/>
        <v>12</v>
      </c>
      <c r="H145" s="28">
        <f t="shared" si="9"/>
        <v>2023</v>
      </c>
      <c r="I145" s="29" t="str">
        <f t="shared" si="10"/>
        <v>Apr</v>
      </c>
      <c r="J145" s="29" t="str">
        <f>_xlfn.XLOOKUP(B145,Branch_Summary!A:A,Branch_Summary!B:B,"Not Found",0)</f>
        <v>Amman Main</v>
      </c>
      <c r="K145" s="29" t="str">
        <f>_xlfn.XLOOKUP(B145,Branch_Summary!A:A,Branch_Summary!C:C,"Not Found",0)</f>
        <v>deposit</v>
      </c>
      <c r="L145" s="29" t="str">
        <f t="shared" si="11"/>
        <v>Low Value</v>
      </c>
    </row>
    <row r="146" spans="1:12">
      <c r="A146" s="24">
        <v>10062</v>
      </c>
      <c r="B146" s="24" t="s">
        <v>27</v>
      </c>
      <c r="C146" s="24" t="s">
        <v>28</v>
      </c>
      <c r="D146" s="25" t="s">
        <v>26</v>
      </c>
      <c r="E146" s="26">
        <v>3196</v>
      </c>
      <c r="F146" s="27">
        <v>44845</v>
      </c>
      <c r="G146" s="28">
        <f t="shared" si="8"/>
        <v>11</v>
      </c>
      <c r="H146" s="28">
        <f t="shared" si="9"/>
        <v>2022</v>
      </c>
      <c r="I146" s="29" t="str">
        <f t="shared" si="10"/>
        <v>Oct</v>
      </c>
      <c r="J146" s="29" t="str">
        <f>_xlfn.XLOOKUP(B146,Branch_Summary!A:A,Branch_Summary!B:B,"Not Found",0)</f>
        <v>Amman Main</v>
      </c>
      <c r="K146" s="29" t="str">
        <f>_xlfn.XLOOKUP(B146,Branch_Summary!A:A,Branch_Summary!C:C,"Not Found",0)</f>
        <v>deposit</v>
      </c>
      <c r="L146" s="29" t="str">
        <f t="shared" si="11"/>
        <v>Low Value</v>
      </c>
    </row>
    <row r="147" spans="1:12">
      <c r="A147" s="24">
        <v>10065</v>
      </c>
      <c r="B147" s="24" t="s">
        <v>27</v>
      </c>
      <c r="C147" s="24" t="s">
        <v>28</v>
      </c>
      <c r="D147" s="25" t="s">
        <v>26</v>
      </c>
      <c r="E147" s="26">
        <v>1348</v>
      </c>
      <c r="F147" s="27">
        <v>44674</v>
      </c>
      <c r="G147" s="28">
        <f t="shared" si="8"/>
        <v>23</v>
      </c>
      <c r="H147" s="28">
        <f t="shared" si="9"/>
        <v>2022</v>
      </c>
      <c r="I147" s="29" t="str">
        <f t="shared" si="10"/>
        <v>Apr</v>
      </c>
      <c r="J147" s="29" t="str">
        <f>_xlfn.XLOOKUP(B147,Branch_Summary!A:A,Branch_Summary!B:B,"Not Found",0)</f>
        <v>Amman Main</v>
      </c>
      <c r="K147" s="29" t="str">
        <f>_xlfn.XLOOKUP(B147,Branch_Summary!A:A,Branch_Summary!C:C,"Not Found",0)</f>
        <v>deposit</v>
      </c>
      <c r="L147" s="29" t="str">
        <f t="shared" si="11"/>
        <v>Low Value</v>
      </c>
    </row>
    <row r="148" spans="1:12">
      <c r="A148" s="24">
        <v>10068</v>
      </c>
      <c r="B148" s="24" t="s">
        <v>27</v>
      </c>
      <c r="C148" s="24" t="s">
        <v>28</v>
      </c>
      <c r="D148" s="25" t="s">
        <v>21</v>
      </c>
      <c r="E148" s="26">
        <v>1017</v>
      </c>
      <c r="F148" s="27">
        <v>44046</v>
      </c>
      <c r="G148" s="28">
        <f t="shared" si="8"/>
        <v>3</v>
      </c>
      <c r="H148" s="28">
        <f t="shared" si="9"/>
        <v>2020</v>
      </c>
      <c r="I148" s="29" t="str">
        <f t="shared" si="10"/>
        <v>Aug</v>
      </c>
      <c r="J148" s="29" t="str">
        <f>_xlfn.XLOOKUP(B148,Branch_Summary!A:A,Branch_Summary!B:B,"Not Found",0)</f>
        <v>Amman Main</v>
      </c>
      <c r="K148" s="29" t="str">
        <f>_xlfn.XLOOKUP(B148,Branch_Summary!A:A,Branch_Summary!C:C,"Not Found",0)</f>
        <v>deposit</v>
      </c>
      <c r="L148" s="29" t="str">
        <f t="shared" si="11"/>
        <v>Low Value</v>
      </c>
    </row>
    <row r="149" spans="1:12">
      <c r="A149" s="24">
        <v>10079</v>
      </c>
      <c r="B149" s="24" t="s">
        <v>27</v>
      </c>
      <c r="C149" s="24" t="s">
        <v>28</v>
      </c>
      <c r="D149" s="25" t="s">
        <v>37</v>
      </c>
      <c r="E149" s="26">
        <v>2983</v>
      </c>
      <c r="F149" s="27">
        <v>44025</v>
      </c>
      <c r="G149" s="28">
        <f t="shared" si="8"/>
        <v>13</v>
      </c>
      <c r="H149" s="28">
        <f t="shared" si="9"/>
        <v>2020</v>
      </c>
      <c r="I149" s="29" t="str">
        <f t="shared" si="10"/>
        <v>Jul</v>
      </c>
      <c r="J149" s="29" t="str">
        <f>_xlfn.XLOOKUP(B149,Branch_Summary!A:A,Branch_Summary!B:B,"Not Found",0)</f>
        <v>Amman Main</v>
      </c>
      <c r="K149" s="29" t="str">
        <f>_xlfn.XLOOKUP(B149,Branch_Summary!A:A,Branch_Summary!C:C,"Not Found",0)</f>
        <v>deposit</v>
      </c>
      <c r="L149" s="29" t="str">
        <f t="shared" si="11"/>
        <v>Low Value</v>
      </c>
    </row>
    <row r="150" spans="1:12">
      <c r="A150" s="24">
        <v>10085</v>
      </c>
      <c r="B150" s="24" t="s">
        <v>27</v>
      </c>
      <c r="C150" s="24" t="s">
        <v>28</v>
      </c>
      <c r="D150" s="25" t="s">
        <v>26</v>
      </c>
      <c r="E150" s="26">
        <v>3526</v>
      </c>
      <c r="F150" s="27">
        <v>44449</v>
      </c>
      <c r="G150" s="28">
        <f t="shared" si="8"/>
        <v>10</v>
      </c>
      <c r="H150" s="28">
        <f t="shared" si="9"/>
        <v>2021</v>
      </c>
      <c r="I150" s="29" t="str">
        <f t="shared" si="10"/>
        <v>Sep</v>
      </c>
      <c r="J150" s="29" t="str">
        <f>_xlfn.XLOOKUP(B150,Branch_Summary!A:A,Branch_Summary!B:B,"Not Found",0)</f>
        <v>Amman Main</v>
      </c>
      <c r="K150" s="29" t="str">
        <f>_xlfn.XLOOKUP(B150,Branch_Summary!A:A,Branch_Summary!C:C,"Not Found",0)</f>
        <v>deposit</v>
      </c>
      <c r="L150" s="29" t="str">
        <f t="shared" si="11"/>
        <v>Low Value</v>
      </c>
    </row>
    <row r="151" spans="1:12">
      <c r="A151" s="24">
        <v>10094</v>
      </c>
      <c r="B151" s="24" t="s">
        <v>27</v>
      </c>
      <c r="C151" s="24" t="s">
        <v>28</v>
      </c>
      <c r="D151" s="25" t="s">
        <v>37</v>
      </c>
      <c r="E151" s="26">
        <v>2263</v>
      </c>
      <c r="F151" s="27">
        <v>43636</v>
      </c>
      <c r="G151" s="28">
        <f t="shared" si="8"/>
        <v>20</v>
      </c>
      <c r="H151" s="28">
        <f t="shared" si="9"/>
        <v>2019</v>
      </c>
      <c r="I151" s="29" t="str">
        <f t="shared" si="10"/>
        <v>Jun</v>
      </c>
      <c r="J151" s="29" t="str">
        <f>_xlfn.XLOOKUP(B151,Branch_Summary!A:A,Branch_Summary!B:B,"Not Found",0)</f>
        <v>Amman Main</v>
      </c>
      <c r="K151" s="29" t="str">
        <f>_xlfn.XLOOKUP(B151,Branch_Summary!A:A,Branch_Summary!C:C,"Not Found",0)</f>
        <v>deposit</v>
      </c>
      <c r="L151" s="29" t="str">
        <f t="shared" si="11"/>
        <v>Low Value</v>
      </c>
    </row>
    <row r="152" spans="1:12">
      <c r="A152" s="24">
        <v>10102</v>
      </c>
      <c r="B152" s="24" t="s">
        <v>27</v>
      </c>
      <c r="C152" s="24" t="s">
        <v>28</v>
      </c>
      <c r="D152" s="25" t="s">
        <v>37</v>
      </c>
      <c r="E152" s="26">
        <v>333</v>
      </c>
      <c r="F152" s="27">
        <v>45212</v>
      </c>
      <c r="G152" s="28">
        <f t="shared" si="8"/>
        <v>13</v>
      </c>
      <c r="H152" s="28">
        <f t="shared" si="9"/>
        <v>2023</v>
      </c>
      <c r="I152" s="29" t="str">
        <f t="shared" si="10"/>
        <v>Oct</v>
      </c>
      <c r="J152" s="29" t="str">
        <f>_xlfn.XLOOKUP(B152,Branch_Summary!A:A,Branch_Summary!B:B,"Not Found",0)</f>
        <v>Amman Main</v>
      </c>
      <c r="K152" s="29" t="str">
        <f>_xlfn.XLOOKUP(B152,Branch_Summary!A:A,Branch_Summary!C:C,"Not Found",0)</f>
        <v>deposit</v>
      </c>
      <c r="L152" s="29" t="str">
        <f t="shared" si="11"/>
        <v>Low Value</v>
      </c>
    </row>
    <row r="153" spans="1:12">
      <c r="A153" s="24">
        <v>10104</v>
      </c>
      <c r="B153" s="24" t="s">
        <v>27</v>
      </c>
      <c r="C153" s="24" t="s">
        <v>28</v>
      </c>
      <c r="D153" s="25" t="s">
        <v>26</v>
      </c>
      <c r="E153" s="26">
        <v>1930</v>
      </c>
      <c r="F153" s="27">
        <v>44120</v>
      </c>
      <c r="G153" s="28">
        <f t="shared" si="8"/>
        <v>16</v>
      </c>
      <c r="H153" s="28">
        <f t="shared" si="9"/>
        <v>2020</v>
      </c>
      <c r="I153" s="29" t="str">
        <f t="shared" si="10"/>
        <v>Oct</v>
      </c>
      <c r="J153" s="29" t="str">
        <f>_xlfn.XLOOKUP(B153,Branch_Summary!A:A,Branch_Summary!B:B,"Not Found",0)</f>
        <v>Amman Main</v>
      </c>
      <c r="K153" s="29" t="str">
        <f>_xlfn.XLOOKUP(B153,Branch_Summary!A:A,Branch_Summary!C:C,"Not Found",0)</f>
        <v>deposit</v>
      </c>
      <c r="L153" s="29" t="str">
        <f t="shared" si="11"/>
        <v>Low Value</v>
      </c>
    </row>
    <row r="154" spans="1:12">
      <c r="A154" s="24">
        <v>10140</v>
      </c>
      <c r="B154" s="24" t="s">
        <v>27</v>
      </c>
      <c r="C154" s="24" t="s">
        <v>28</v>
      </c>
      <c r="D154" s="25" t="s">
        <v>21</v>
      </c>
      <c r="E154" s="26">
        <v>2971</v>
      </c>
      <c r="F154" s="27">
        <v>45227</v>
      </c>
      <c r="G154" s="28">
        <f t="shared" si="8"/>
        <v>28</v>
      </c>
      <c r="H154" s="28">
        <f t="shared" si="9"/>
        <v>2023</v>
      </c>
      <c r="I154" s="29" t="str">
        <f t="shared" si="10"/>
        <v>Oct</v>
      </c>
      <c r="J154" s="29" t="str">
        <f>_xlfn.XLOOKUP(B154,Branch_Summary!A:A,Branch_Summary!B:B,"Not Found",0)</f>
        <v>Amman Main</v>
      </c>
      <c r="K154" s="29" t="str">
        <f>_xlfn.XLOOKUP(B154,Branch_Summary!A:A,Branch_Summary!C:C,"Not Found",0)</f>
        <v>deposit</v>
      </c>
      <c r="L154" s="29" t="str">
        <f t="shared" si="11"/>
        <v>Low Value</v>
      </c>
    </row>
    <row r="155" spans="1:12">
      <c r="A155" s="24">
        <v>10151</v>
      </c>
      <c r="B155" s="24" t="s">
        <v>27</v>
      </c>
      <c r="C155" s="24" t="s">
        <v>28</v>
      </c>
      <c r="D155" s="25" t="s">
        <v>21</v>
      </c>
      <c r="E155" s="26">
        <v>3343</v>
      </c>
      <c r="F155" s="27">
        <v>45664</v>
      </c>
      <c r="G155" s="28">
        <f t="shared" si="8"/>
        <v>7</v>
      </c>
      <c r="H155" s="28">
        <f t="shared" si="9"/>
        <v>2025</v>
      </c>
      <c r="I155" s="29" t="str">
        <f t="shared" si="10"/>
        <v>Jan</v>
      </c>
      <c r="J155" s="29" t="str">
        <f>_xlfn.XLOOKUP(B155,Branch_Summary!A:A,Branch_Summary!B:B,"Not Found",0)</f>
        <v>Amman Main</v>
      </c>
      <c r="K155" s="29" t="str">
        <f>_xlfn.XLOOKUP(B155,Branch_Summary!A:A,Branch_Summary!C:C,"Not Found",0)</f>
        <v>deposit</v>
      </c>
      <c r="L155" s="29" t="str">
        <f t="shared" si="11"/>
        <v>Low Value</v>
      </c>
    </row>
    <row r="156" spans="1:12">
      <c r="A156" s="24">
        <v>10162</v>
      </c>
      <c r="B156" s="24" t="s">
        <v>27</v>
      </c>
      <c r="C156" s="24" t="s">
        <v>28</v>
      </c>
      <c r="D156" s="25" t="s">
        <v>37</v>
      </c>
      <c r="E156" s="26">
        <v>4977</v>
      </c>
      <c r="F156" s="27">
        <v>45510</v>
      </c>
      <c r="G156" s="28">
        <f t="shared" si="8"/>
        <v>6</v>
      </c>
      <c r="H156" s="28">
        <f t="shared" si="9"/>
        <v>2024</v>
      </c>
      <c r="I156" s="29" t="str">
        <f t="shared" si="10"/>
        <v>Aug</v>
      </c>
      <c r="J156" s="29" t="str">
        <f>_xlfn.XLOOKUP(B156,Branch_Summary!A:A,Branch_Summary!B:B,"Not Found",0)</f>
        <v>Amman Main</v>
      </c>
      <c r="K156" s="29" t="str">
        <f>_xlfn.XLOOKUP(B156,Branch_Summary!A:A,Branch_Summary!C:C,"Not Found",0)</f>
        <v>deposit</v>
      </c>
      <c r="L156" s="29" t="str">
        <f t="shared" si="11"/>
        <v>High Value</v>
      </c>
    </row>
    <row r="157" spans="1:12">
      <c r="A157" s="24">
        <v>10176</v>
      </c>
      <c r="B157" s="24" t="s">
        <v>27</v>
      </c>
      <c r="C157" s="24" t="s">
        <v>28</v>
      </c>
      <c r="D157" s="25" t="s">
        <v>37</v>
      </c>
      <c r="E157" s="26">
        <v>377</v>
      </c>
      <c r="F157" s="27">
        <v>44938</v>
      </c>
      <c r="G157" s="28">
        <f t="shared" si="8"/>
        <v>12</v>
      </c>
      <c r="H157" s="28">
        <f t="shared" si="9"/>
        <v>2023</v>
      </c>
      <c r="I157" s="29" t="str">
        <f t="shared" si="10"/>
        <v>Jan</v>
      </c>
      <c r="J157" s="29" t="str">
        <f>_xlfn.XLOOKUP(B157,Branch_Summary!A:A,Branch_Summary!B:B,"Not Found",0)</f>
        <v>Amman Main</v>
      </c>
      <c r="K157" s="29" t="str">
        <f>_xlfn.XLOOKUP(B157,Branch_Summary!A:A,Branch_Summary!C:C,"Not Found",0)</f>
        <v>deposit</v>
      </c>
      <c r="L157" s="29" t="str">
        <f t="shared" si="11"/>
        <v>Low Value</v>
      </c>
    </row>
    <row r="158" spans="1:12">
      <c r="A158" s="24">
        <v>10182</v>
      </c>
      <c r="B158" s="24" t="s">
        <v>27</v>
      </c>
      <c r="C158" s="24" t="s">
        <v>28</v>
      </c>
      <c r="D158" s="25" t="s">
        <v>26</v>
      </c>
      <c r="E158" s="26">
        <v>386</v>
      </c>
      <c r="F158" s="27">
        <v>45174</v>
      </c>
      <c r="G158" s="28">
        <f t="shared" si="8"/>
        <v>5</v>
      </c>
      <c r="H158" s="28">
        <f t="shared" si="9"/>
        <v>2023</v>
      </c>
      <c r="I158" s="29" t="str">
        <f t="shared" si="10"/>
        <v>Sep</v>
      </c>
      <c r="J158" s="29" t="str">
        <f>_xlfn.XLOOKUP(B158,Branch_Summary!A:A,Branch_Summary!B:B,"Not Found",0)</f>
        <v>Amman Main</v>
      </c>
      <c r="K158" s="29" t="str">
        <f>_xlfn.XLOOKUP(B158,Branch_Summary!A:A,Branch_Summary!C:C,"Not Found",0)</f>
        <v>deposit</v>
      </c>
      <c r="L158" s="29" t="str">
        <f t="shared" si="11"/>
        <v>Low Value</v>
      </c>
    </row>
    <row r="159" spans="1:12">
      <c r="A159" s="24">
        <v>10207</v>
      </c>
      <c r="B159" s="24" t="s">
        <v>27</v>
      </c>
      <c r="C159" s="24" t="s">
        <v>28</v>
      </c>
      <c r="D159" s="25" t="s">
        <v>21</v>
      </c>
      <c r="E159" s="26">
        <v>4614</v>
      </c>
      <c r="F159" s="27">
        <v>43472</v>
      </c>
      <c r="G159" s="28">
        <f t="shared" si="8"/>
        <v>7</v>
      </c>
      <c r="H159" s="28">
        <f t="shared" si="9"/>
        <v>2019</v>
      </c>
      <c r="I159" s="29" t="str">
        <f t="shared" si="10"/>
        <v>Jan</v>
      </c>
      <c r="J159" s="29" t="str">
        <f>_xlfn.XLOOKUP(B159,Branch_Summary!A:A,Branch_Summary!B:B,"Not Found",0)</f>
        <v>Amman Main</v>
      </c>
      <c r="K159" s="29" t="str">
        <f>_xlfn.XLOOKUP(B159,Branch_Summary!A:A,Branch_Summary!C:C,"Not Found",0)</f>
        <v>deposit</v>
      </c>
      <c r="L159" s="29" t="str">
        <f t="shared" si="11"/>
        <v>High Value</v>
      </c>
    </row>
    <row r="160" spans="1:12">
      <c r="A160" s="24">
        <v>10209</v>
      </c>
      <c r="B160" s="24" t="s">
        <v>27</v>
      </c>
      <c r="C160" s="24" t="s">
        <v>28</v>
      </c>
      <c r="D160" s="25" t="s">
        <v>37</v>
      </c>
      <c r="E160" s="26">
        <v>1146</v>
      </c>
      <c r="F160" s="27">
        <v>44884</v>
      </c>
      <c r="G160" s="28">
        <f t="shared" si="8"/>
        <v>19</v>
      </c>
      <c r="H160" s="28">
        <f t="shared" si="9"/>
        <v>2022</v>
      </c>
      <c r="I160" s="29" t="str">
        <f t="shared" si="10"/>
        <v>Nov</v>
      </c>
      <c r="J160" s="29" t="str">
        <f>_xlfn.XLOOKUP(B160,Branch_Summary!A:A,Branch_Summary!B:B,"Not Found",0)</f>
        <v>Amman Main</v>
      </c>
      <c r="K160" s="29" t="str">
        <f>_xlfn.XLOOKUP(B160,Branch_Summary!A:A,Branch_Summary!C:C,"Not Found",0)</f>
        <v>deposit</v>
      </c>
      <c r="L160" s="29" t="str">
        <f t="shared" si="11"/>
        <v>Low Value</v>
      </c>
    </row>
    <row r="161" spans="1:12">
      <c r="A161" s="24">
        <v>10211</v>
      </c>
      <c r="B161" s="24" t="s">
        <v>27</v>
      </c>
      <c r="C161" s="24" t="s">
        <v>28</v>
      </c>
      <c r="D161" s="25" t="s">
        <v>21</v>
      </c>
      <c r="E161" s="26">
        <v>2759</v>
      </c>
      <c r="F161" s="27">
        <v>44745</v>
      </c>
      <c r="G161" s="28">
        <f t="shared" si="8"/>
        <v>3</v>
      </c>
      <c r="H161" s="28">
        <f t="shared" si="9"/>
        <v>2022</v>
      </c>
      <c r="I161" s="29" t="str">
        <f t="shared" si="10"/>
        <v>Jul</v>
      </c>
      <c r="J161" s="29" t="str">
        <f>_xlfn.XLOOKUP(B161,Branch_Summary!A:A,Branch_Summary!B:B,"Not Found",0)</f>
        <v>Amman Main</v>
      </c>
      <c r="K161" s="29" t="str">
        <f>_xlfn.XLOOKUP(B161,Branch_Summary!A:A,Branch_Summary!C:C,"Not Found",0)</f>
        <v>deposit</v>
      </c>
      <c r="L161" s="29" t="str">
        <f t="shared" si="11"/>
        <v>Low Value</v>
      </c>
    </row>
    <row r="162" spans="1:12">
      <c r="A162" s="24">
        <v>10212</v>
      </c>
      <c r="B162" s="24" t="s">
        <v>27</v>
      </c>
      <c r="C162" s="24" t="s">
        <v>28</v>
      </c>
      <c r="D162" s="25" t="s">
        <v>21</v>
      </c>
      <c r="E162" s="26">
        <v>1560</v>
      </c>
      <c r="F162" s="27">
        <v>45078</v>
      </c>
      <c r="G162" s="28">
        <f t="shared" si="8"/>
        <v>1</v>
      </c>
      <c r="H162" s="28">
        <f t="shared" si="9"/>
        <v>2023</v>
      </c>
      <c r="I162" s="29" t="str">
        <f t="shared" si="10"/>
        <v>Jun</v>
      </c>
      <c r="J162" s="29" t="str">
        <f>_xlfn.XLOOKUP(B162,Branch_Summary!A:A,Branch_Summary!B:B,"Not Found",0)</f>
        <v>Amman Main</v>
      </c>
      <c r="K162" s="29" t="str">
        <f>_xlfn.XLOOKUP(B162,Branch_Summary!A:A,Branch_Summary!C:C,"Not Found",0)</f>
        <v>deposit</v>
      </c>
      <c r="L162" s="29" t="str">
        <f t="shared" si="11"/>
        <v>Low Value</v>
      </c>
    </row>
    <row r="163" spans="1:12">
      <c r="A163" s="24">
        <v>10215</v>
      </c>
      <c r="B163" s="24" t="s">
        <v>27</v>
      </c>
      <c r="C163" s="24" t="s">
        <v>28</v>
      </c>
      <c r="D163" s="25" t="s">
        <v>37</v>
      </c>
      <c r="E163" s="26">
        <v>3900</v>
      </c>
      <c r="F163" s="27">
        <v>45002</v>
      </c>
      <c r="G163" s="28">
        <f t="shared" si="8"/>
        <v>17</v>
      </c>
      <c r="H163" s="28">
        <f t="shared" si="9"/>
        <v>2023</v>
      </c>
      <c r="I163" s="29" t="str">
        <f t="shared" si="10"/>
        <v>Mar</v>
      </c>
      <c r="J163" s="29" t="str">
        <f>_xlfn.XLOOKUP(B163,Branch_Summary!A:A,Branch_Summary!B:B,"Not Found",0)</f>
        <v>Amman Main</v>
      </c>
      <c r="K163" s="29" t="str">
        <f>_xlfn.XLOOKUP(B163,Branch_Summary!A:A,Branch_Summary!C:C,"Not Found",0)</f>
        <v>deposit</v>
      </c>
      <c r="L163" s="29" t="str">
        <f t="shared" si="11"/>
        <v>Low Value</v>
      </c>
    </row>
    <row r="164" spans="1:12">
      <c r="A164" s="24">
        <v>10238</v>
      </c>
      <c r="B164" s="24" t="s">
        <v>27</v>
      </c>
      <c r="C164" s="24" t="s">
        <v>28</v>
      </c>
      <c r="D164" s="25" t="s">
        <v>21</v>
      </c>
      <c r="E164" s="26">
        <v>3340</v>
      </c>
      <c r="F164" s="27">
        <v>43904</v>
      </c>
      <c r="G164" s="28">
        <f t="shared" si="8"/>
        <v>14</v>
      </c>
      <c r="H164" s="28">
        <f t="shared" si="9"/>
        <v>2020</v>
      </c>
      <c r="I164" s="29" t="str">
        <f t="shared" si="10"/>
        <v>Mar</v>
      </c>
      <c r="J164" s="29" t="str">
        <f>_xlfn.XLOOKUP(B164,Branch_Summary!A:A,Branch_Summary!B:B,"Not Found",0)</f>
        <v>Amman Main</v>
      </c>
      <c r="K164" s="29" t="str">
        <f>_xlfn.XLOOKUP(B164,Branch_Summary!A:A,Branch_Summary!C:C,"Not Found",0)</f>
        <v>deposit</v>
      </c>
      <c r="L164" s="29" t="str">
        <f t="shared" si="11"/>
        <v>Low Value</v>
      </c>
    </row>
    <row r="165" spans="1:12">
      <c r="A165" s="24">
        <v>10239</v>
      </c>
      <c r="B165" s="24" t="s">
        <v>27</v>
      </c>
      <c r="C165" s="24" t="s">
        <v>28</v>
      </c>
      <c r="D165" s="25" t="s">
        <v>21</v>
      </c>
      <c r="E165" s="26">
        <v>3811</v>
      </c>
      <c r="F165" s="27">
        <v>44566</v>
      </c>
      <c r="G165" s="28">
        <f t="shared" si="8"/>
        <v>5</v>
      </c>
      <c r="H165" s="28">
        <f t="shared" si="9"/>
        <v>2022</v>
      </c>
      <c r="I165" s="29" t="str">
        <f t="shared" si="10"/>
        <v>Jan</v>
      </c>
      <c r="J165" s="29" t="str">
        <f>_xlfn.XLOOKUP(B165,Branch_Summary!A:A,Branch_Summary!B:B,"Not Found",0)</f>
        <v>Amman Main</v>
      </c>
      <c r="K165" s="29" t="str">
        <f>_xlfn.XLOOKUP(B165,Branch_Summary!A:A,Branch_Summary!C:C,"Not Found",0)</f>
        <v>deposit</v>
      </c>
      <c r="L165" s="29" t="str">
        <f t="shared" si="11"/>
        <v>Low Value</v>
      </c>
    </row>
    <row r="166" spans="1:12">
      <c r="A166" s="24">
        <v>10242</v>
      </c>
      <c r="B166" s="24" t="s">
        <v>27</v>
      </c>
      <c r="C166" s="24" t="s">
        <v>28</v>
      </c>
      <c r="D166" s="25" t="s">
        <v>21</v>
      </c>
      <c r="E166" s="26">
        <v>3702</v>
      </c>
      <c r="F166" s="27">
        <v>45037</v>
      </c>
      <c r="G166" s="28">
        <f t="shared" si="8"/>
        <v>21</v>
      </c>
      <c r="H166" s="28">
        <f t="shared" si="9"/>
        <v>2023</v>
      </c>
      <c r="I166" s="29" t="str">
        <f t="shared" si="10"/>
        <v>Apr</v>
      </c>
      <c r="J166" s="29" t="str">
        <f>_xlfn.XLOOKUP(B166,Branch_Summary!A:A,Branch_Summary!B:B,"Not Found",0)</f>
        <v>Amman Main</v>
      </c>
      <c r="K166" s="29" t="str">
        <f>_xlfn.XLOOKUP(B166,Branch_Summary!A:A,Branch_Summary!C:C,"Not Found",0)</f>
        <v>deposit</v>
      </c>
      <c r="L166" s="29" t="str">
        <f t="shared" si="11"/>
        <v>Low Value</v>
      </c>
    </row>
    <row r="167" spans="1:12">
      <c r="A167" s="24">
        <v>10246</v>
      </c>
      <c r="B167" s="24" t="s">
        <v>27</v>
      </c>
      <c r="C167" s="24" t="s">
        <v>28</v>
      </c>
      <c r="D167" s="25" t="s">
        <v>37</v>
      </c>
      <c r="E167" s="26">
        <v>2107</v>
      </c>
      <c r="F167" s="27">
        <v>43936</v>
      </c>
      <c r="G167" s="28">
        <f t="shared" si="8"/>
        <v>15</v>
      </c>
      <c r="H167" s="28">
        <f t="shared" si="9"/>
        <v>2020</v>
      </c>
      <c r="I167" s="29" t="str">
        <f t="shared" si="10"/>
        <v>Apr</v>
      </c>
      <c r="J167" s="29" t="str">
        <f>_xlfn.XLOOKUP(B167,Branch_Summary!A:A,Branch_Summary!B:B,"Not Found",0)</f>
        <v>Amman Main</v>
      </c>
      <c r="K167" s="29" t="str">
        <f>_xlfn.XLOOKUP(B167,Branch_Summary!A:A,Branch_Summary!C:C,"Not Found",0)</f>
        <v>deposit</v>
      </c>
      <c r="L167" s="29" t="str">
        <f t="shared" si="11"/>
        <v>Low Value</v>
      </c>
    </row>
    <row r="168" spans="1:12">
      <c r="A168" s="24">
        <v>10003</v>
      </c>
      <c r="B168" s="24" t="s">
        <v>16</v>
      </c>
      <c r="C168" s="24" t="s">
        <v>17</v>
      </c>
      <c r="D168" s="25" t="s">
        <v>37</v>
      </c>
      <c r="E168" s="26">
        <v>439</v>
      </c>
      <c r="F168" s="27">
        <v>44115</v>
      </c>
      <c r="G168" s="28">
        <f t="shared" si="8"/>
        <v>11</v>
      </c>
      <c r="H168" s="28">
        <f t="shared" si="9"/>
        <v>2020</v>
      </c>
      <c r="I168" s="29" t="str">
        <f t="shared" si="10"/>
        <v>Oct</v>
      </c>
      <c r="J168" s="29" t="str">
        <f>_xlfn.XLOOKUP(B168,Branch_Summary!A:A,Branch_Summary!B:B,"Not Found",0)</f>
        <v>Zarqa</v>
      </c>
      <c r="K168" s="29" t="str">
        <f>_xlfn.XLOOKUP(B168,Branch_Summary!A:A,Branch_Summary!C:C,"Not Found",0)</f>
        <v>Withdrawal</v>
      </c>
      <c r="L168" s="29" t="str">
        <f t="shared" si="11"/>
        <v>Low Value</v>
      </c>
    </row>
    <row r="169" spans="1:12">
      <c r="A169" s="24">
        <v>10014</v>
      </c>
      <c r="B169" s="24" t="s">
        <v>16</v>
      </c>
      <c r="C169" s="24" t="s">
        <v>17</v>
      </c>
      <c r="D169" s="25" t="s">
        <v>38</v>
      </c>
      <c r="E169" s="26">
        <v>330</v>
      </c>
      <c r="F169" s="27">
        <v>43998</v>
      </c>
      <c r="G169" s="28">
        <f t="shared" si="8"/>
        <v>16</v>
      </c>
      <c r="H169" s="28">
        <f t="shared" si="9"/>
        <v>2020</v>
      </c>
      <c r="I169" s="29" t="str">
        <f t="shared" si="10"/>
        <v>Jun</v>
      </c>
      <c r="J169" s="29" t="str">
        <f>_xlfn.XLOOKUP(B169,Branch_Summary!A:A,Branch_Summary!B:B,"Not Found",0)</f>
        <v>Zarqa</v>
      </c>
      <c r="K169" s="29" t="str">
        <f>_xlfn.XLOOKUP(B169,Branch_Summary!A:A,Branch_Summary!C:C,"Not Found",0)</f>
        <v>Withdrawal</v>
      </c>
      <c r="L169" s="29" t="str">
        <f t="shared" si="11"/>
        <v>Low Value</v>
      </c>
    </row>
    <row r="170" spans="1:12">
      <c r="A170" s="24">
        <v>10037</v>
      </c>
      <c r="B170" s="24" t="s">
        <v>16</v>
      </c>
      <c r="C170" s="24" t="s">
        <v>17</v>
      </c>
      <c r="D170" s="25" t="s">
        <v>39</v>
      </c>
      <c r="E170" s="26">
        <v>3243</v>
      </c>
      <c r="F170" s="27">
        <v>45565</v>
      </c>
      <c r="G170" s="28">
        <f t="shared" si="8"/>
        <v>30</v>
      </c>
      <c r="H170" s="28">
        <f t="shared" si="9"/>
        <v>2024</v>
      </c>
      <c r="I170" s="29" t="str">
        <f t="shared" si="10"/>
        <v>Sep</v>
      </c>
      <c r="J170" s="29" t="str">
        <f>_xlfn.XLOOKUP(B170,Branch_Summary!A:A,Branch_Summary!B:B,"Not Found",0)</f>
        <v>Zarqa</v>
      </c>
      <c r="K170" s="29" t="str">
        <f>_xlfn.XLOOKUP(B170,Branch_Summary!A:A,Branch_Summary!C:C,"Not Found",0)</f>
        <v>Withdrawal</v>
      </c>
      <c r="L170" s="29" t="str">
        <f t="shared" si="11"/>
        <v>Low Value</v>
      </c>
    </row>
    <row r="171" spans="1:12">
      <c r="A171" s="24">
        <v>10067</v>
      </c>
      <c r="B171" s="24" t="s">
        <v>16</v>
      </c>
      <c r="C171" s="24" t="s">
        <v>17</v>
      </c>
      <c r="D171" s="25" t="s">
        <v>21</v>
      </c>
      <c r="E171" s="26">
        <v>4768</v>
      </c>
      <c r="F171" s="27">
        <v>45567</v>
      </c>
      <c r="G171" s="28">
        <f t="shared" si="8"/>
        <v>2</v>
      </c>
      <c r="H171" s="28">
        <f t="shared" si="9"/>
        <v>2024</v>
      </c>
      <c r="I171" s="29" t="str">
        <f t="shared" si="10"/>
        <v>Oct</v>
      </c>
      <c r="J171" s="29" t="str">
        <f>_xlfn.XLOOKUP(B171,Branch_Summary!A:A,Branch_Summary!B:B,"Not Found",0)</f>
        <v>Zarqa</v>
      </c>
      <c r="K171" s="29" t="str">
        <f>_xlfn.XLOOKUP(B171,Branch_Summary!A:A,Branch_Summary!C:C,"Not Found",0)</f>
        <v>Withdrawal</v>
      </c>
      <c r="L171" s="29" t="str">
        <f t="shared" si="11"/>
        <v>High Value</v>
      </c>
    </row>
    <row r="172" spans="1:12">
      <c r="A172" s="24">
        <v>10070</v>
      </c>
      <c r="B172" s="24" t="s">
        <v>16</v>
      </c>
      <c r="C172" s="24" t="s">
        <v>17</v>
      </c>
      <c r="D172" s="25" t="s">
        <v>26</v>
      </c>
      <c r="E172" s="26">
        <v>763</v>
      </c>
      <c r="F172" s="27">
        <v>43497</v>
      </c>
      <c r="G172" s="28">
        <f t="shared" si="8"/>
        <v>1</v>
      </c>
      <c r="H172" s="28">
        <f t="shared" si="9"/>
        <v>2019</v>
      </c>
      <c r="I172" s="29" t="str">
        <f t="shared" si="10"/>
        <v>Feb</v>
      </c>
      <c r="J172" s="29" t="str">
        <f>_xlfn.XLOOKUP(B172,Branch_Summary!A:A,Branch_Summary!B:B,"Not Found",0)</f>
        <v>Zarqa</v>
      </c>
      <c r="K172" s="29" t="str">
        <f>_xlfn.XLOOKUP(B172,Branch_Summary!A:A,Branch_Summary!C:C,"Not Found",0)</f>
        <v>Withdrawal</v>
      </c>
      <c r="L172" s="29" t="str">
        <f t="shared" si="11"/>
        <v>Low Value</v>
      </c>
    </row>
    <row r="173" spans="1:12">
      <c r="A173" s="24">
        <v>10087</v>
      </c>
      <c r="B173" s="24" t="s">
        <v>16</v>
      </c>
      <c r="C173" s="24" t="s">
        <v>17</v>
      </c>
      <c r="D173" s="25" t="s">
        <v>37</v>
      </c>
      <c r="E173" s="26">
        <v>2779</v>
      </c>
      <c r="F173" s="27">
        <v>43834</v>
      </c>
      <c r="G173" s="28">
        <f t="shared" si="8"/>
        <v>4</v>
      </c>
      <c r="H173" s="28">
        <f t="shared" si="9"/>
        <v>2020</v>
      </c>
      <c r="I173" s="29" t="str">
        <f t="shared" si="10"/>
        <v>Jan</v>
      </c>
      <c r="J173" s="29" t="str">
        <f>_xlfn.XLOOKUP(B173,Branch_Summary!A:A,Branch_Summary!B:B,"Not Found",0)</f>
        <v>Zarqa</v>
      </c>
      <c r="K173" s="29" t="str">
        <f>_xlfn.XLOOKUP(B173,Branch_Summary!A:A,Branch_Summary!C:C,"Not Found",0)</f>
        <v>Withdrawal</v>
      </c>
      <c r="L173" s="29" t="str">
        <f t="shared" si="11"/>
        <v>Low Value</v>
      </c>
    </row>
    <row r="174" spans="1:12">
      <c r="A174" s="24">
        <v>10088</v>
      </c>
      <c r="B174" s="24" t="s">
        <v>16</v>
      </c>
      <c r="C174" s="24" t="s">
        <v>17</v>
      </c>
      <c r="D174" s="25" t="s">
        <v>37</v>
      </c>
      <c r="E174" s="26">
        <v>3550</v>
      </c>
      <c r="F174" s="27">
        <v>44552</v>
      </c>
      <c r="G174" s="28">
        <f t="shared" si="8"/>
        <v>22</v>
      </c>
      <c r="H174" s="28">
        <f t="shared" si="9"/>
        <v>2021</v>
      </c>
      <c r="I174" s="29" t="str">
        <f t="shared" si="10"/>
        <v>Dec</v>
      </c>
      <c r="J174" s="29" t="str">
        <f>_xlfn.XLOOKUP(B174,Branch_Summary!A:A,Branch_Summary!B:B,"Not Found",0)</f>
        <v>Zarqa</v>
      </c>
      <c r="K174" s="29" t="str">
        <f>_xlfn.XLOOKUP(B174,Branch_Summary!A:A,Branch_Summary!C:C,"Not Found",0)</f>
        <v>Withdrawal</v>
      </c>
      <c r="L174" s="29" t="str">
        <f t="shared" si="11"/>
        <v>Low Value</v>
      </c>
    </row>
    <row r="175" spans="1:12">
      <c r="A175" s="24">
        <v>10095</v>
      </c>
      <c r="B175" s="24" t="s">
        <v>16</v>
      </c>
      <c r="C175" s="24" t="s">
        <v>17</v>
      </c>
      <c r="D175" s="25" t="s">
        <v>37</v>
      </c>
      <c r="E175" s="26">
        <v>1230</v>
      </c>
      <c r="F175" s="27">
        <v>44728</v>
      </c>
      <c r="G175" s="28">
        <f t="shared" si="8"/>
        <v>16</v>
      </c>
      <c r="H175" s="28">
        <f t="shared" si="9"/>
        <v>2022</v>
      </c>
      <c r="I175" s="29" t="str">
        <f t="shared" si="10"/>
        <v>Jun</v>
      </c>
      <c r="J175" s="29" t="str">
        <f>_xlfn.XLOOKUP(B175,Branch_Summary!A:A,Branch_Summary!B:B,"Not Found",0)</f>
        <v>Zarqa</v>
      </c>
      <c r="K175" s="29" t="str">
        <f>_xlfn.XLOOKUP(B175,Branch_Summary!A:A,Branch_Summary!C:C,"Not Found",0)</f>
        <v>Withdrawal</v>
      </c>
      <c r="L175" s="29" t="str">
        <f t="shared" si="11"/>
        <v>Low Value</v>
      </c>
    </row>
    <row r="176" spans="1:12">
      <c r="A176" s="24">
        <v>10101</v>
      </c>
      <c r="B176" s="24" t="s">
        <v>16</v>
      </c>
      <c r="C176" s="24" t="s">
        <v>17</v>
      </c>
      <c r="D176" s="25" t="s">
        <v>26</v>
      </c>
      <c r="E176" s="26">
        <v>2823</v>
      </c>
      <c r="F176" s="27">
        <v>44828</v>
      </c>
      <c r="G176" s="28">
        <f t="shared" si="8"/>
        <v>24</v>
      </c>
      <c r="H176" s="28">
        <f t="shared" si="9"/>
        <v>2022</v>
      </c>
      <c r="I176" s="29" t="str">
        <f t="shared" si="10"/>
        <v>Sep</v>
      </c>
      <c r="J176" s="29" t="str">
        <f>_xlfn.XLOOKUP(B176,Branch_Summary!A:A,Branch_Summary!B:B,"Not Found",0)</f>
        <v>Zarqa</v>
      </c>
      <c r="K176" s="29" t="str">
        <f>_xlfn.XLOOKUP(B176,Branch_Summary!A:A,Branch_Summary!C:C,"Not Found",0)</f>
        <v>Withdrawal</v>
      </c>
      <c r="L176" s="29" t="str">
        <f t="shared" si="11"/>
        <v>Low Value</v>
      </c>
    </row>
    <row r="177" spans="1:12">
      <c r="A177" s="24">
        <v>10125</v>
      </c>
      <c r="B177" s="24" t="s">
        <v>16</v>
      </c>
      <c r="C177" s="24" t="s">
        <v>17</v>
      </c>
      <c r="D177" s="25" t="s">
        <v>37</v>
      </c>
      <c r="E177" s="26">
        <v>3777</v>
      </c>
      <c r="F177" s="27">
        <v>45558</v>
      </c>
      <c r="G177" s="28">
        <f t="shared" si="8"/>
        <v>23</v>
      </c>
      <c r="H177" s="28">
        <f t="shared" si="9"/>
        <v>2024</v>
      </c>
      <c r="I177" s="29" t="str">
        <f t="shared" si="10"/>
        <v>Sep</v>
      </c>
      <c r="J177" s="29" t="str">
        <f>_xlfn.XLOOKUP(B177,Branch_Summary!A:A,Branch_Summary!B:B,"Not Found",0)</f>
        <v>Zarqa</v>
      </c>
      <c r="K177" s="29" t="str">
        <f>_xlfn.XLOOKUP(B177,Branch_Summary!A:A,Branch_Summary!C:C,"Not Found",0)</f>
        <v>Withdrawal</v>
      </c>
      <c r="L177" s="29" t="str">
        <f t="shared" si="11"/>
        <v>Low Value</v>
      </c>
    </row>
    <row r="178" spans="1:12">
      <c r="A178" s="24">
        <v>10129</v>
      </c>
      <c r="B178" s="24" t="s">
        <v>16</v>
      </c>
      <c r="C178" s="24" t="s">
        <v>17</v>
      </c>
      <c r="D178" s="25" t="s">
        <v>21</v>
      </c>
      <c r="E178" s="26">
        <v>731</v>
      </c>
      <c r="F178" s="27">
        <v>43640</v>
      </c>
      <c r="G178" s="28">
        <f t="shared" si="8"/>
        <v>24</v>
      </c>
      <c r="H178" s="28">
        <f t="shared" si="9"/>
        <v>2019</v>
      </c>
      <c r="I178" s="29" t="str">
        <f t="shared" si="10"/>
        <v>Jun</v>
      </c>
      <c r="J178" s="29" t="str">
        <f>_xlfn.XLOOKUP(B178,Branch_Summary!A:A,Branch_Summary!B:B,"Not Found",0)</f>
        <v>Zarqa</v>
      </c>
      <c r="K178" s="29" t="str">
        <f>_xlfn.XLOOKUP(B178,Branch_Summary!A:A,Branch_Summary!C:C,"Not Found",0)</f>
        <v>Withdrawal</v>
      </c>
      <c r="L178" s="29" t="str">
        <f t="shared" si="11"/>
        <v>Low Value</v>
      </c>
    </row>
    <row r="179" spans="1:12">
      <c r="A179" s="24">
        <v>10152</v>
      </c>
      <c r="B179" s="24" t="s">
        <v>16</v>
      </c>
      <c r="C179" s="24" t="s">
        <v>17</v>
      </c>
      <c r="D179" s="25" t="s">
        <v>21</v>
      </c>
      <c r="E179" s="26">
        <v>969</v>
      </c>
      <c r="F179" s="27">
        <v>44084</v>
      </c>
      <c r="G179" s="28">
        <f t="shared" si="8"/>
        <v>10</v>
      </c>
      <c r="H179" s="28">
        <f t="shared" si="9"/>
        <v>2020</v>
      </c>
      <c r="I179" s="29" t="str">
        <f t="shared" si="10"/>
        <v>Sep</v>
      </c>
      <c r="J179" s="29" t="str">
        <f>_xlfn.XLOOKUP(B179,Branch_Summary!A:A,Branch_Summary!B:B,"Not Found",0)</f>
        <v>Zarqa</v>
      </c>
      <c r="K179" s="29" t="str">
        <f>_xlfn.XLOOKUP(B179,Branch_Summary!A:A,Branch_Summary!C:C,"Not Found",0)</f>
        <v>Withdrawal</v>
      </c>
      <c r="L179" s="29" t="str">
        <f t="shared" si="11"/>
        <v>Low Value</v>
      </c>
    </row>
    <row r="180" spans="1:12">
      <c r="A180" s="24">
        <v>10154</v>
      </c>
      <c r="B180" s="24" t="s">
        <v>16</v>
      </c>
      <c r="C180" s="24" t="s">
        <v>17</v>
      </c>
      <c r="D180" s="25" t="s">
        <v>26</v>
      </c>
      <c r="E180" s="26">
        <v>4554</v>
      </c>
      <c r="F180" s="27">
        <v>44149</v>
      </c>
      <c r="G180" s="28">
        <f t="shared" si="8"/>
        <v>14</v>
      </c>
      <c r="H180" s="28">
        <f t="shared" si="9"/>
        <v>2020</v>
      </c>
      <c r="I180" s="29" t="str">
        <f t="shared" si="10"/>
        <v>Nov</v>
      </c>
      <c r="J180" s="29" t="str">
        <f>_xlfn.XLOOKUP(B180,Branch_Summary!A:A,Branch_Summary!B:B,"Not Found",0)</f>
        <v>Zarqa</v>
      </c>
      <c r="K180" s="29" t="str">
        <f>_xlfn.XLOOKUP(B180,Branch_Summary!A:A,Branch_Summary!C:C,"Not Found",0)</f>
        <v>Withdrawal</v>
      </c>
      <c r="L180" s="29" t="str">
        <f t="shared" si="11"/>
        <v>High Value</v>
      </c>
    </row>
    <row r="181" spans="1:12">
      <c r="A181" s="24">
        <v>10163</v>
      </c>
      <c r="B181" s="24" t="s">
        <v>16</v>
      </c>
      <c r="C181" s="24" t="s">
        <v>17</v>
      </c>
      <c r="D181" s="25" t="s">
        <v>26</v>
      </c>
      <c r="E181" s="26">
        <v>1285</v>
      </c>
      <c r="F181" s="27">
        <v>43795</v>
      </c>
      <c r="G181" s="28">
        <f t="shared" si="8"/>
        <v>26</v>
      </c>
      <c r="H181" s="28">
        <f t="shared" si="9"/>
        <v>2019</v>
      </c>
      <c r="I181" s="29" t="str">
        <f t="shared" si="10"/>
        <v>Nov</v>
      </c>
      <c r="J181" s="29" t="str">
        <f>_xlfn.XLOOKUP(B181,Branch_Summary!A:A,Branch_Summary!B:B,"Not Found",0)</f>
        <v>Zarqa</v>
      </c>
      <c r="K181" s="29" t="str">
        <f>_xlfn.XLOOKUP(B181,Branch_Summary!A:A,Branch_Summary!C:C,"Not Found",0)</f>
        <v>Withdrawal</v>
      </c>
      <c r="L181" s="29" t="str">
        <f t="shared" si="11"/>
        <v>Low Value</v>
      </c>
    </row>
    <row r="182" spans="1:12">
      <c r="A182" s="24">
        <v>10164</v>
      </c>
      <c r="B182" s="24" t="s">
        <v>16</v>
      </c>
      <c r="C182" s="24" t="s">
        <v>17</v>
      </c>
      <c r="D182" s="25" t="s">
        <v>37</v>
      </c>
      <c r="E182" s="26">
        <v>4806</v>
      </c>
      <c r="F182" s="27">
        <v>43860</v>
      </c>
      <c r="G182" s="28">
        <f t="shared" si="8"/>
        <v>30</v>
      </c>
      <c r="H182" s="28">
        <f t="shared" si="9"/>
        <v>2020</v>
      </c>
      <c r="I182" s="29" t="str">
        <f t="shared" si="10"/>
        <v>Jan</v>
      </c>
      <c r="J182" s="29" t="str">
        <f>_xlfn.XLOOKUP(B182,Branch_Summary!A:A,Branch_Summary!B:B,"Not Found",0)</f>
        <v>Zarqa</v>
      </c>
      <c r="K182" s="29" t="str">
        <f>_xlfn.XLOOKUP(B182,Branch_Summary!A:A,Branch_Summary!C:C,"Not Found",0)</f>
        <v>Withdrawal</v>
      </c>
      <c r="L182" s="29" t="str">
        <f t="shared" si="11"/>
        <v>High Value</v>
      </c>
    </row>
    <row r="183" spans="1:12">
      <c r="A183" s="24">
        <v>10177</v>
      </c>
      <c r="B183" s="24" t="s">
        <v>16</v>
      </c>
      <c r="C183" s="24" t="s">
        <v>17</v>
      </c>
      <c r="D183" s="25" t="s">
        <v>26</v>
      </c>
      <c r="E183" s="26">
        <v>3302</v>
      </c>
      <c r="F183" s="27">
        <v>45014</v>
      </c>
      <c r="G183" s="28">
        <f t="shared" si="8"/>
        <v>29</v>
      </c>
      <c r="H183" s="28">
        <f t="shared" si="9"/>
        <v>2023</v>
      </c>
      <c r="I183" s="29" t="str">
        <f t="shared" si="10"/>
        <v>Mar</v>
      </c>
      <c r="J183" s="29" t="str">
        <f>_xlfn.XLOOKUP(B183,Branch_Summary!A:A,Branch_Summary!B:B,"Not Found",0)</f>
        <v>Zarqa</v>
      </c>
      <c r="K183" s="29" t="str">
        <f>_xlfn.XLOOKUP(B183,Branch_Summary!A:A,Branch_Summary!C:C,"Not Found",0)</f>
        <v>Withdrawal</v>
      </c>
      <c r="L183" s="29" t="str">
        <f t="shared" si="11"/>
        <v>Low Value</v>
      </c>
    </row>
    <row r="184" spans="1:12">
      <c r="A184" s="24">
        <v>10184</v>
      </c>
      <c r="B184" s="24" t="s">
        <v>16</v>
      </c>
      <c r="C184" s="24" t="s">
        <v>17</v>
      </c>
      <c r="D184" s="25" t="s">
        <v>26</v>
      </c>
      <c r="E184" s="26">
        <v>1330</v>
      </c>
      <c r="F184" s="27">
        <v>44669</v>
      </c>
      <c r="G184" s="28">
        <f t="shared" si="8"/>
        <v>18</v>
      </c>
      <c r="H184" s="28">
        <f t="shared" si="9"/>
        <v>2022</v>
      </c>
      <c r="I184" s="29" t="str">
        <f t="shared" si="10"/>
        <v>Apr</v>
      </c>
      <c r="J184" s="29" t="str">
        <f>_xlfn.XLOOKUP(B184,Branch_Summary!A:A,Branch_Summary!B:B,"Not Found",0)</f>
        <v>Zarqa</v>
      </c>
      <c r="K184" s="29" t="str">
        <f>_xlfn.XLOOKUP(B184,Branch_Summary!A:A,Branch_Summary!C:C,"Not Found",0)</f>
        <v>Withdrawal</v>
      </c>
      <c r="L184" s="29" t="str">
        <f t="shared" si="11"/>
        <v>Low Value</v>
      </c>
    </row>
    <row r="185" spans="1:12">
      <c r="A185" s="24">
        <v>10187</v>
      </c>
      <c r="B185" s="24" t="s">
        <v>16</v>
      </c>
      <c r="C185" s="24" t="s">
        <v>17</v>
      </c>
      <c r="D185" s="25" t="s">
        <v>37</v>
      </c>
      <c r="E185" s="26">
        <v>4167</v>
      </c>
      <c r="F185" s="27">
        <v>44876</v>
      </c>
      <c r="G185" s="28">
        <f t="shared" si="8"/>
        <v>11</v>
      </c>
      <c r="H185" s="28">
        <f t="shared" si="9"/>
        <v>2022</v>
      </c>
      <c r="I185" s="29" t="str">
        <f t="shared" si="10"/>
        <v>Nov</v>
      </c>
      <c r="J185" s="29" t="str">
        <f>_xlfn.XLOOKUP(B185,Branch_Summary!A:A,Branch_Summary!B:B,"Not Found",0)</f>
        <v>Zarqa</v>
      </c>
      <c r="K185" s="29" t="str">
        <f>_xlfn.XLOOKUP(B185,Branch_Summary!A:A,Branch_Summary!C:C,"Not Found",0)</f>
        <v>Withdrawal</v>
      </c>
      <c r="L185" s="29" t="str">
        <f t="shared" si="11"/>
        <v>High Value</v>
      </c>
    </row>
    <row r="186" spans="1:12">
      <c r="A186" s="24">
        <v>10190</v>
      </c>
      <c r="B186" s="24" t="s">
        <v>16</v>
      </c>
      <c r="C186" s="24" t="s">
        <v>17</v>
      </c>
      <c r="D186" s="25" t="s">
        <v>37</v>
      </c>
      <c r="E186" s="26">
        <v>2945</v>
      </c>
      <c r="F186" s="27">
        <v>44246</v>
      </c>
      <c r="G186" s="28">
        <f t="shared" si="8"/>
        <v>19</v>
      </c>
      <c r="H186" s="28">
        <f t="shared" si="9"/>
        <v>2021</v>
      </c>
      <c r="I186" s="29" t="str">
        <f t="shared" si="10"/>
        <v>Feb</v>
      </c>
      <c r="J186" s="29" t="str">
        <f>_xlfn.XLOOKUP(B186,Branch_Summary!A:A,Branch_Summary!B:B,"Not Found",0)</f>
        <v>Zarqa</v>
      </c>
      <c r="K186" s="29" t="str">
        <f>_xlfn.XLOOKUP(B186,Branch_Summary!A:A,Branch_Summary!C:C,"Not Found",0)</f>
        <v>Withdrawal</v>
      </c>
      <c r="L186" s="29" t="str">
        <f t="shared" si="11"/>
        <v>Low Value</v>
      </c>
    </row>
    <row r="187" spans="1:12">
      <c r="A187" s="24">
        <v>10224</v>
      </c>
      <c r="B187" s="24" t="s">
        <v>16</v>
      </c>
      <c r="C187" s="24" t="s">
        <v>17</v>
      </c>
      <c r="D187" s="25" t="s">
        <v>26</v>
      </c>
      <c r="E187" s="26">
        <v>1510</v>
      </c>
      <c r="F187" s="27">
        <v>44244</v>
      </c>
      <c r="G187" s="28">
        <f t="shared" si="8"/>
        <v>17</v>
      </c>
      <c r="H187" s="28">
        <f t="shared" si="9"/>
        <v>2021</v>
      </c>
      <c r="I187" s="29" t="str">
        <f t="shared" si="10"/>
        <v>Feb</v>
      </c>
      <c r="J187" s="29" t="str">
        <f>_xlfn.XLOOKUP(B187,Branch_Summary!A:A,Branch_Summary!B:B,"Not Found",0)</f>
        <v>Zarqa</v>
      </c>
      <c r="K187" s="29" t="str">
        <f>_xlfn.XLOOKUP(B187,Branch_Summary!A:A,Branch_Summary!C:C,"Not Found",0)</f>
        <v>Withdrawal</v>
      </c>
      <c r="L187" s="29" t="str">
        <f t="shared" si="11"/>
        <v>Low Value</v>
      </c>
    </row>
    <row r="188" spans="1:12">
      <c r="A188" s="24">
        <v>10225</v>
      </c>
      <c r="B188" s="24" t="s">
        <v>16</v>
      </c>
      <c r="C188" s="24" t="s">
        <v>17</v>
      </c>
      <c r="D188" s="25" t="s">
        <v>37</v>
      </c>
      <c r="E188" s="26">
        <v>3879</v>
      </c>
      <c r="F188" s="27">
        <v>45487</v>
      </c>
      <c r="G188" s="28">
        <f t="shared" si="8"/>
        <v>14</v>
      </c>
      <c r="H188" s="28">
        <f t="shared" si="9"/>
        <v>2024</v>
      </c>
      <c r="I188" s="29" t="str">
        <f t="shared" si="10"/>
        <v>Jul</v>
      </c>
      <c r="J188" s="29" t="str">
        <f>_xlfn.XLOOKUP(B188,Branch_Summary!A:A,Branch_Summary!B:B,"Not Found",0)</f>
        <v>Zarqa</v>
      </c>
      <c r="K188" s="29" t="str">
        <f>_xlfn.XLOOKUP(B188,Branch_Summary!A:A,Branch_Summary!C:C,"Not Found",0)</f>
        <v>Withdrawal</v>
      </c>
      <c r="L188" s="29" t="str">
        <f t="shared" si="11"/>
        <v>Low Value</v>
      </c>
    </row>
    <row r="189" spans="1:12">
      <c r="A189" s="24">
        <v>10240</v>
      </c>
      <c r="B189" s="24" t="s">
        <v>16</v>
      </c>
      <c r="C189" s="24" t="s">
        <v>17</v>
      </c>
      <c r="D189" s="25" t="s">
        <v>37</v>
      </c>
      <c r="E189" s="26">
        <v>2182</v>
      </c>
      <c r="F189" s="27">
        <v>43881</v>
      </c>
      <c r="G189" s="28">
        <f t="shared" si="8"/>
        <v>20</v>
      </c>
      <c r="H189" s="28">
        <f t="shared" si="9"/>
        <v>2020</v>
      </c>
      <c r="I189" s="29" t="str">
        <f t="shared" si="10"/>
        <v>Feb</v>
      </c>
      <c r="J189" s="29" t="str">
        <f>_xlfn.XLOOKUP(B189,Branch_Summary!A:A,Branch_Summary!B:B,"Not Found",0)</f>
        <v>Zarqa</v>
      </c>
      <c r="K189" s="29" t="str">
        <f>_xlfn.XLOOKUP(B189,Branch_Summary!A:A,Branch_Summary!C:C,"Not Found",0)</f>
        <v>Withdrawal</v>
      </c>
      <c r="L189" s="29" t="str">
        <f t="shared" si="11"/>
        <v>Low Value</v>
      </c>
    </row>
    <row r="190" spans="1:12">
      <c r="A190" s="24">
        <v>10006</v>
      </c>
      <c r="B190" s="24" t="s">
        <v>24</v>
      </c>
      <c r="C190" s="24" t="s">
        <v>42</v>
      </c>
      <c r="D190" s="25" t="s">
        <v>37</v>
      </c>
      <c r="E190" s="26">
        <v>1826</v>
      </c>
      <c r="F190" s="27">
        <v>44210</v>
      </c>
      <c r="G190" s="28">
        <f t="shared" si="8"/>
        <v>14</v>
      </c>
      <c r="H190" s="28">
        <f t="shared" si="9"/>
        <v>2021</v>
      </c>
      <c r="I190" s="29" t="str">
        <f t="shared" si="10"/>
        <v>Jan</v>
      </c>
      <c r="J190" s="29" t="str">
        <f>_xlfn.XLOOKUP(B190,Branch_Summary!A:A,Branch_Summary!B:B,"Not Found",0)</f>
        <v>Irbid</v>
      </c>
      <c r="K190" s="29" t="str">
        <f>_xlfn.XLOOKUP(B190,Branch_Summary!A:A,Branch_Summary!C:C,"Not Found",0)</f>
        <v>Withdrawal</v>
      </c>
      <c r="L190" s="29" t="str">
        <f t="shared" si="11"/>
        <v>Low Value</v>
      </c>
    </row>
    <row r="191" spans="1:12">
      <c r="A191" s="24">
        <v>10009</v>
      </c>
      <c r="B191" s="24" t="s">
        <v>24</v>
      </c>
      <c r="C191" s="24" t="s">
        <v>25</v>
      </c>
      <c r="D191" s="25" t="s">
        <v>26</v>
      </c>
      <c r="E191" s="26">
        <v>551</v>
      </c>
      <c r="F191" s="27">
        <v>44914</v>
      </c>
      <c r="G191" s="28">
        <f t="shared" si="8"/>
        <v>19</v>
      </c>
      <c r="H191" s="28">
        <f t="shared" si="9"/>
        <v>2022</v>
      </c>
      <c r="I191" s="29" t="str">
        <f t="shared" si="10"/>
        <v>Dec</v>
      </c>
      <c r="J191" s="29" t="str">
        <f>_xlfn.XLOOKUP(B191,Branch_Summary!A:A,Branch_Summary!B:B,"Not Found",0)</f>
        <v>Irbid</v>
      </c>
      <c r="K191" s="29" t="str">
        <f>_xlfn.XLOOKUP(B191,Branch_Summary!A:A,Branch_Summary!C:C,"Not Found",0)</f>
        <v>Withdrawal</v>
      </c>
      <c r="L191" s="29" t="str">
        <f t="shared" si="11"/>
        <v>Low Value</v>
      </c>
    </row>
    <row r="192" spans="1:12">
      <c r="A192" s="24">
        <v>10012</v>
      </c>
      <c r="B192" s="24" t="s">
        <v>24</v>
      </c>
      <c r="C192" s="24" t="s">
        <v>25</v>
      </c>
      <c r="D192" s="25" t="s">
        <v>26</v>
      </c>
      <c r="E192" s="26">
        <v>2724</v>
      </c>
      <c r="F192" s="27">
        <v>45189</v>
      </c>
      <c r="G192" s="28">
        <f t="shared" si="8"/>
        <v>20</v>
      </c>
      <c r="H192" s="28">
        <f t="shared" si="9"/>
        <v>2023</v>
      </c>
      <c r="I192" s="29" t="str">
        <f t="shared" si="10"/>
        <v>Sep</v>
      </c>
      <c r="J192" s="29" t="str">
        <f>_xlfn.XLOOKUP(B192,Branch_Summary!A:A,Branch_Summary!B:B,"Not Found",0)</f>
        <v>Irbid</v>
      </c>
      <c r="K192" s="29" t="str">
        <f>_xlfn.XLOOKUP(B192,Branch_Summary!A:A,Branch_Summary!C:C,"Not Found",0)</f>
        <v>Withdrawal</v>
      </c>
      <c r="L192" s="29" t="str">
        <f t="shared" si="11"/>
        <v>Low Value</v>
      </c>
    </row>
    <row r="193" spans="1:12">
      <c r="A193" s="24">
        <v>10015</v>
      </c>
      <c r="B193" s="24" t="s">
        <v>24</v>
      </c>
      <c r="C193" s="24" t="s">
        <v>25</v>
      </c>
      <c r="D193" s="25" t="s">
        <v>38</v>
      </c>
      <c r="E193" s="26">
        <v>2254</v>
      </c>
      <c r="F193" s="27">
        <v>45250</v>
      </c>
      <c r="G193" s="28">
        <f t="shared" si="8"/>
        <v>20</v>
      </c>
      <c r="H193" s="28">
        <f t="shared" si="9"/>
        <v>2023</v>
      </c>
      <c r="I193" s="29" t="str">
        <f t="shared" si="10"/>
        <v>Nov</v>
      </c>
      <c r="J193" s="29" t="str">
        <f>_xlfn.XLOOKUP(B193,Branch_Summary!A:A,Branch_Summary!B:B,"Not Found",0)</f>
        <v>Irbid</v>
      </c>
      <c r="K193" s="29" t="str">
        <f>_xlfn.XLOOKUP(B193,Branch_Summary!A:A,Branch_Summary!C:C,"Not Found",0)</f>
        <v>Withdrawal</v>
      </c>
      <c r="L193" s="29" t="str">
        <f t="shared" si="11"/>
        <v>Low Value</v>
      </c>
    </row>
    <row r="194" spans="1:12">
      <c r="A194" s="24">
        <v>10016</v>
      </c>
      <c r="B194" s="24" t="s">
        <v>24</v>
      </c>
      <c r="C194" s="24" t="s">
        <v>25</v>
      </c>
      <c r="D194" s="25" t="s">
        <v>21</v>
      </c>
      <c r="E194" s="26">
        <v>3380</v>
      </c>
      <c r="F194" s="27">
        <v>44474</v>
      </c>
      <c r="G194" s="28">
        <f t="shared" ref="G194:G240" si="12">DAY(F194)</f>
        <v>5</v>
      </c>
      <c r="H194" s="28">
        <f t="shared" ref="H194:H240" si="13">YEAR(F194)</f>
        <v>2021</v>
      </c>
      <c r="I194" s="29" t="str">
        <f t="shared" ref="I194:I240" si="14">TEXT(F194,"mmm")</f>
        <v>Oct</v>
      </c>
      <c r="J194" s="29" t="str">
        <f>_xlfn.XLOOKUP(B194,Branch_Summary!A:A,Branch_Summary!B:B,"Not Found",0)</f>
        <v>Irbid</v>
      </c>
      <c r="K194" s="29" t="str">
        <f>_xlfn.XLOOKUP(B194,Branch_Summary!A:A,Branch_Summary!C:C,"Not Found",0)</f>
        <v>Withdrawal</v>
      </c>
      <c r="L194" s="29" t="str">
        <f t="shared" si="11"/>
        <v>Low Value</v>
      </c>
    </row>
    <row r="195" spans="1:12">
      <c r="A195" s="24">
        <v>10031</v>
      </c>
      <c r="B195" s="24" t="s">
        <v>24</v>
      </c>
      <c r="C195" s="24" t="s">
        <v>25</v>
      </c>
      <c r="D195" s="25" t="s">
        <v>38</v>
      </c>
      <c r="E195" s="26">
        <v>594</v>
      </c>
      <c r="F195" s="27">
        <v>44246</v>
      </c>
      <c r="G195" s="28">
        <f t="shared" si="12"/>
        <v>19</v>
      </c>
      <c r="H195" s="28">
        <f t="shared" si="13"/>
        <v>2021</v>
      </c>
      <c r="I195" s="29" t="str">
        <f t="shared" si="14"/>
        <v>Feb</v>
      </c>
      <c r="J195" s="29" t="str">
        <f>_xlfn.XLOOKUP(B195,Branch_Summary!A:A,Branch_Summary!B:B,"Not Found",0)</f>
        <v>Irbid</v>
      </c>
      <c r="K195" s="29" t="str">
        <f>_xlfn.XLOOKUP(B195,Branch_Summary!A:A,Branch_Summary!C:C,"Not Found",0)</f>
        <v>Withdrawal</v>
      </c>
      <c r="L195" s="29" t="str">
        <f t="shared" ref="L195:L240" si="15">IF(E195&gt;4000,"High Value","Low Value")</f>
        <v>Low Value</v>
      </c>
    </row>
    <row r="196" spans="1:12">
      <c r="A196" s="24">
        <v>10044</v>
      </c>
      <c r="B196" s="24" t="s">
        <v>24</v>
      </c>
      <c r="C196" s="24" t="s">
        <v>25</v>
      </c>
      <c r="D196" s="25" t="s">
        <v>26</v>
      </c>
      <c r="E196" s="26">
        <v>983</v>
      </c>
      <c r="F196" s="27">
        <v>44071</v>
      </c>
      <c r="G196" s="28">
        <f t="shared" si="12"/>
        <v>28</v>
      </c>
      <c r="H196" s="28">
        <f t="shared" si="13"/>
        <v>2020</v>
      </c>
      <c r="I196" s="29" t="str">
        <f t="shared" si="14"/>
        <v>Aug</v>
      </c>
      <c r="J196" s="29" t="str">
        <f>_xlfn.XLOOKUP(B196,Branch_Summary!A:A,Branch_Summary!B:B,"Not Found",0)</f>
        <v>Irbid</v>
      </c>
      <c r="K196" s="29" t="str">
        <f>_xlfn.XLOOKUP(B196,Branch_Summary!A:A,Branch_Summary!C:C,"Not Found",0)</f>
        <v>Withdrawal</v>
      </c>
      <c r="L196" s="29" t="str">
        <f t="shared" si="15"/>
        <v>Low Value</v>
      </c>
    </row>
    <row r="197" spans="1:12">
      <c r="A197" s="24">
        <v>10047</v>
      </c>
      <c r="B197" s="24" t="s">
        <v>24</v>
      </c>
      <c r="C197" s="24" t="s">
        <v>25</v>
      </c>
      <c r="D197" s="25" t="s">
        <v>37</v>
      </c>
      <c r="E197" s="26">
        <v>299</v>
      </c>
      <c r="F197" s="27">
        <v>45102</v>
      </c>
      <c r="G197" s="28">
        <f t="shared" si="12"/>
        <v>25</v>
      </c>
      <c r="H197" s="28">
        <f t="shared" si="13"/>
        <v>2023</v>
      </c>
      <c r="I197" s="29" t="str">
        <f t="shared" si="14"/>
        <v>Jun</v>
      </c>
      <c r="J197" s="29" t="str">
        <f>_xlfn.XLOOKUP(B197,Branch_Summary!A:A,Branch_Summary!B:B,"Not Found",0)</f>
        <v>Irbid</v>
      </c>
      <c r="K197" s="29" t="str">
        <f>_xlfn.XLOOKUP(B197,Branch_Summary!A:A,Branch_Summary!C:C,"Not Found",0)</f>
        <v>Withdrawal</v>
      </c>
      <c r="L197" s="29" t="str">
        <f t="shared" si="15"/>
        <v>Low Value</v>
      </c>
    </row>
    <row r="198" spans="1:12">
      <c r="A198" s="24">
        <v>10064</v>
      </c>
      <c r="B198" s="24" t="s">
        <v>24</v>
      </c>
      <c r="C198" s="24" t="s">
        <v>25</v>
      </c>
      <c r="D198" s="25" t="s">
        <v>37</v>
      </c>
      <c r="E198" s="26">
        <v>689</v>
      </c>
      <c r="F198" s="27">
        <v>45345</v>
      </c>
      <c r="G198" s="28">
        <f t="shared" si="12"/>
        <v>23</v>
      </c>
      <c r="H198" s="28">
        <f t="shared" si="13"/>
        <v>2024</v>
      </c>
      <c r="I198" s="29" t="str">
        <f t="shared" si="14"/>
        <v>Feb</v>
      </c>
      <c r="J198" s="29" t="str">
        <f>_xlfn.XLOOKUP(B198,Branch_Summary!A:A,Branch_Summary!B:B,"Not Found",0)</f>
        <v>Irbid</v>
      </c>
      <c r="K198" s="29" t="str">
        <f>_xlfn.XLOOKUP(B198,Branch_Summary!A:A,Branch_Summary!C:C,"Not Found",0)</f>
        <v>Withdrawal</v>
      </c>
      <c r="L198" s="29" t="str">
        <f t="shared" si="15"/>
        <v>Low Value</v>
      </c>
    </row>
    <row r="199" spans="1:12">
      <c r="A199" s="24">
        <v>10074</v>
      </c>
      <c r="B199" s="24" t="s">
        <v>24</v>
      </c>
      <c r="C199" s="24" t="s">
        <v>25</v>
      </c>
      <c r="D199" s="25" t="s">
        <v>21</v>
      </c>
      <c r="E199" s="26">
        <v>3491</v>
      </c>
      <c r="F199" s="27">
        <v>44144</v>
      </c>
      <c r="G199" s="28">
        <f t="shared" si="12"/>
        <v>9</v>
      </c>
      <c r="H199" s="28">
        <f t="shared" si="13"/>
        <v>2020</v>
      </c>
      <c r="I199" s="29" t="str">
        <f t="shared" si="14"/>
        <v>Nov</v>
      </c>
      <c r="J199" s="29" t="str">
        <f>_xlfn.XLOOKUP(B199,Branch_Summary!A:A,Branch_Summary!B:B,"Not Found",0)</f>
        <v>Irbid</v>
      </c>
      <c r="K199" s="29" t="str">
        <f>_xlfn.XLOOKUP(B199,Branch_Summary!A:A,Branch_Summary!C:C,"Not Found",0)</f>
        <v>Withdrawal</v>
      </c>
      <c r="L199" s="29" t="str">
        <f t="shared" si="15"/>
        <v>Low Value</v>
      </c>
    </row>
    <row r="200" spans="1:12">
      <c r="A200" s="24">
        <v>10077</v>
      </c>
      <c r="B200" s="24" t="s">
        <v>24</v>
      </c>
      <c r="C200" s="24" t="s">
        <v>25</v>
      </c>
      <c r="D200" s="25" t="s">
        <v>37</v>
      </c>
      <c r="E200" s="26">
        <v>1936</v>
      </c>
      <c r="F200" s="27">
        <v>43706</v>
      </c>
      <c r="G200" s="28">
        <f t="shared" si="12"/>
        <v>29</v>
      </c>
      <c r="H200" s="28">
        <f t="shared" si="13"/>
        <v>2019</v>
      </c>
      <c r="I200" s="29" t="str">
        <f t="shared" si="14"/>
        <v>Aug</v>
      </c>
      <c r="J200" s="29" t="str">
        <f>_xlfn.XLOOKUP(B200,Branch_Summary!A:A,Branch_Summary!B:B,"Not Found",0)</f>
        <v>Irbid</v>
      </c>
      <c r="K200" s="29" t="str">
        <f>_xlfn.XLOOKUP(B200,Branch_Summary!A:A,Branch_Summary!C:C,"Not Found",0)</f>
        <v>Withdrawal</v>
      </c>
      <c r="L200" s="29" t="str">
        <f t="shared" si="15"/>
        <v>Low Value</v>
      </c>
    </row>
    <row r="201" spans="1:12">
      <c r="A201" s="24">
        <v>10128</v>
      </c>
      <c r="B201" s="24" t="s">
        <v>24</v>
      </c>
      <c r="C201" s="24" t="s">
        <v>25</v>
      </c>
      <c r="D201" s="25" t="s">
        <v>37</v>
      </c>
      <c r="E201" s="26">
        <v>4322</v>
      </c>
      <c r="F201" s="27">
        <v>44887</v>
      </c>
      <c r="G201" s="28">
        <f t="shared" si="12"/>
        <v>22</v>
      </c>
      <c r="H201" s="28">
        <f t="shared" si="13"/>
        <v>2022</v>
      </c>
      <c r="I201" s="29" t="str">
        <f t="shared" si="14"/>
        <v>Nov</v>
      </c>
      <c r="J201" s="29" t="str">
        <f>_xlfn.XLOOKUP(B201,Branch_Summary!A:A,Branch_Summary!B:B,"Not Found",0)</f>
        <v>Irbid</v>
      </c>
      <c r="K201" s="29" t="str">
        <f>_xlfn.XLOOKUP(B201,Branch_Summary!A:A,Branch_Summary!C:C,"Not Found",0)</f>
        <v>Withdrawal</v>
      </c>
      <c r="L201" s="29" t="str">
        <f t="shared" si="15"/>
        <v>High Value</v>
      </c>
    </row>
    <row r="202" spans="1:12">
      <c r="A202" s="24">
        <v>10142</v>
      </c>
      <c r="B202" s="24" t="s">
        <v>24</v>
      </c>
      <c r="C202" s="24" t="s">
        <v>25</v>
      </c>
      <c r="D202" s="25" t="s">
        <v>21</v>
      </c>
      <c r="E202" s="26">
        <v>783</v>
      </c>
      <c r="F202" s="27">
        <v>44420</v>
      </c>
      <c r="G202" s="28">
        <f t="shared" si="12"/>
        <v>12</v>
      </c>
      <c r="H202" s="28">
        <f t="shared" si="13"/>
        <v>2021</v>
      </c>
      <c r="I202" s="29" t="str">
        <f t="shared" si="14"/>
        <v>Aug</v>
      </c>
      <c r="J202" s="29" t="str">
        <f>_xlfn.XLOOKUP(B202,Branch_Summary!A:A,Branch_Summary!B:B,"Not Found",0)</f>
        <v>Irbid</v>
      </c>
      <c r="K202" s="29" t="str">
        <f>_xlfn.XLOOKUP(B202,Branch_Summary!A:A,Branch_Summary!C:C,"Not Found",0)</f>
        <v>Withdrawal</v>
      </c>
      <c r="L202" s="29" t="str">
        <f t="shared" si="15"/>
        <v>Low Value</v>
      </c>
    </row>
    <row r="203" spans="1:12">
      <c r="A203" s="24">
        <v>10145</v>
      </c>
      <c r="B203" s="24" t="s">
        <v>24</v>
      </c>
      <c r="C203" s="24" t="s">
        <v>25</v>
      </c>
      <c r="D203" s="25" t="s">
        <v>26</v>
      </c>
      <c r="E203" s="26">
        <v>2191</v>
      </c>
      <c r="F203" s="27">
        <v>45018</v>
      </c>
      <c r="G203" s="28">
        <f t="shared" si="12"/>
        <v>2</v>
      </c>
      <c r="H203" s="28">
        <f t="shared" si="13"/>
        <v>2023</v>
      </c>
      <c r="I203" s="29" t="str">
        <f t="shared" si="14"/>
        <v>Apr</v>
      </c>
      <c r="J203" s="29" t="str">
        <f>_xlfn.XLOOKUP(B203,Branch_Summary!A:A,Branch_Summary!B:B,"Not Found",0)</f>
        <v>Irbid</v>
      </c>
      <c r="K203" s="29" t="str">
        <f>_xlfn.XLOOKUP(B203,Branch_Summary!A:A,Branch_Summary!C:C,"Not Found",0)</f>
        <v>Withdrawal</v>
      </c>
      <c r="L203" s="29" t="str">
        <f t="shared" si="15"/>
        <v>Low Value</v>
      </c>
    </row>
    <row r="204" spans="1:12">
      <c r="A204" s="24">
        <v>10146</v>
      </c>
      <c r="B204" s="24" t="s">
        <v>24</v>
      </c>
      <c r="C204" s="24" t="s">
        <v>25</v>
      </c>
      <c r="D204" s="25" t="s">
        <v>21</v>
      </c>
      <c r="E204" s="26">
        <v>1094</v>
      </c>
      <c r="F204" s="27">
        <v>44575</v>
      </c>
      <c r="G204" s="28">
        <f t="shared" si="12"/>
        <v>14</v>
      </c>
      <c r="H204" s="28">
        <f t="shared" si="13"/>
        <v>2022</v>
      </c>
      <c r="I204" s="29" t="str">
        <f t="shared" si="14"/>
        <v>Jan</v>
      </c>
      <c r="J204" s="29" t="str">
        <f>_xlfn.XLOOKUP(B204,Branch_Summary!A:A,Branch_Summary!B:B,"Not Found",0)</f>
        <v>Irbid</v>
      </c>
      <c r="K204" s="29" t="str">
        <f>_xlfn.XLOOKUP(B204,Branch_Summary!A:A,Branch_Summary!C:C,"Not Found",0)</f>
        <v>Withdrawal</v>
      </c>
      <c r="L204" s="29" t="str">
        <f t="shared" si="15"/>
        <v>Low Value</v>
      </c>
    </row>
    <row r="205" spans="1:12">
      <c r="A205" s="24">
        <v>10155</v>
      </c>
      <c r="B205" s="24" t="s">
        <v>24</v>
      </c>
      <c r="C205" s="24" t="s">
        <v>25</v>
      </c>
      <c r="D205" s="25" t="s">
        <v>26</v>
      </c>
      <c r="E205" s="26">
        <v>1035</v>
      </c>
      <c r="F205" s="27">
        <v>44923</v>
      </c>
      <c r="G205" s="28">
        <f t="shared" si="12"/>
        <v>28</v>
      </c>
      <c r="H205" s="28">
        <f t="shared" si="13"/>
        <v>2022</v>
      </c>
      <c r="I205" s="29" t="str">
        <f t="shared" si="14"/>
        <v>Dec</v>
      </c>
      <c r="J205" s="29" t="str">
        <f>_xlfn.XLOOKUP(B205,Branch_Summary!A:A,Branch_Summary!B:B,"Not Found",0)</f>
        <v>Irbid</v>
      </c>
      <c r="K205" s="29" t="str">
        <f>_xlfn.XLOOKUP(B205,Branch_Summary!A:A,Branch_Summary!C:C,"Not Found",0)</f>
        <v>Withdrawal</v>
      </c>
      <c r="L205" s="29" t="str">
        <f t="shared" si="15"/>
        <v>Low Value</v>
      </c>
    </row>
    <row r="206" spans="1:12">
      <c r="A206" s="24">
        <v>10158</v>
      </c>
      <c r="B206" s="24" t="s">
        <v>24</v>
      </c>
      <c r="C206" s="24" t="s">
        <v>25</v>
      </c>
      <c r="D206" s="25" t="s">
        <v>21</v>
      </c>
      <c r="E206" s="26">
        <v>3534</v>
      </c>
      <c r="F206" s="27">
        <v>44686</v>
      </c>
      <c r="G206" s="28">
        <f t="shared" si="12"/>
        <v>5</v>
      </c>
      <c r="H206" s="28">
        <f t="shared" si="13"/>
        <v>2022</v>
      </c>
      <c r="I206" s="29" t="str">
        <f t="shared" si="14"/>
        <v>May</v>
      </c>
      <c r="J206" s="29" t="str">
        <f>_xlfn.XLOOKUP(B206,Branch_Summary!A:A,Branch_Summary!B:B,"Not Found",0)</f>
        <v>Irbid</v>
      </c>
      <c r="K206" s="29" t="str">
        <f>_xlfn.XLOOKUP(B206,Branch_Summary!A:A,Branch_Summary!C:C,"Not Found",0)</f>
        <v>Withdrawal</v>
      </c>
      <c r="L206" s="29" t="str">
        <f t="shared" si="15"/>
        <v>Low Value</v>
      </c>
    </row>
    <row r="207" spans="1:12">
      <c r="A207" s="24">
        <v>10168</v>
      </c>
      <c r="B207" s="24" t="s">
        <v>24</v>
      </c>
      <c r="C207" s="24" t="s">
        <v>25</v>
      </c>
      <c r="D207" s="25" t="s">
        <v>26</v>
      </c>
      <c r="E207" s="26">
        <v>670</v>
      </c>
      <c r="F207" s="27">
        <v>44329</v>
      </c>
      <c r="G207" s="28">
        <f t="shared" si="12"/>
        <v>13</v>
      </c>
      <c r="H207" s="28">
        <f t="shared" si="13"/>
        <v>2021</v>
      </c>
      <c r="I207" s="29" t="str">
        <f t="shared" si="14"/>
        <v>May</v>
      </c>
      <c r="J207" s="29" t="str">
        <f>_xlfn.XLOOKUP(B207,Branch_Summary!A:A,Branch_Summary!B:B,"Not Found",0)</f>
        <v>Irbid</v>
      </c>
      <c r="K207" s="29" t="str">
        <f>_xlfn.XLOOKUP(B207,Branch_Summary!A:A,Branch_Summary!C:C,"Not Found",0)</f>
        <v>Withdrawal</v>
      </c>
      <c r="L207" s="29" t="str">
        <f t="shared" si="15"/>
        <v>Low Value</v>
      </c>
    </row>
    <row r="208" spans="1:12">
      <c r="A208" s="24">
        <v>10174</v>
      </c>
      <c r="B208" s="24" t="s">
        <v>24</v>
      </c>
      <c r="C208" s="24" t="s">
        <v>25</v>
      </c>
      <c r="D208" s="25" t="s">
        <v>26</v>
      </c>
      <c r="E208" s="26">
        <v>3093</v>
      </c>
      <c r="F208" s="27">
        <v>45249</v>
      </c>
      <c r="G208" s="28">
        <f t="shared" si="12"/>
        <v>19</v>
      </c>
      <c r="H208" s="28">
        <f t="shared" si="13"/>
        <v>2023</v>
      </c>
      <c r="I208" s="29" t="str">
        <f t="shared" si="14"/>
        <v>Nov</v>
      </c>
      <c r="J208" s="29" t="str">
        <f>_xlfn.XLOOKUP(B208,Branch_Summary!A:A,Branch_Summary!B:B,"Not Found",0)</f>
        <v>Irbid</v>
      </c>
      <c r="K208" s="29" t="str">
        <f>_xlfn.XLOOKUP(B208,Branch_Summary!A:A,Branch_Summary!C:C,"Not Found",0)</f>
        <v>Withdrawal</v>
      </c>
      <c r="L208" s="29" t="str">
        <f t="shared" si="15"/>
        <v>Low Value</v>
      </c>
    </row>
    <row r="209" spans="1:12">
      <c r="A209" s="24">
        <v>10189</v>
      </c>
      <c r="B209" s="24" t="s">
        <v>24</v>
      </c>
      <c r="C209" s="24" t="s">
        <v>25</v>
      </c>
      <c r="D209" s="25" t="s">
        <v>37</v>
      </c>
      <c r="E209" s="26">
        <v>1176</v>
      </c>
      <c r="F209" s="27">
        <v>44058</v>
      </c>
      <c r="G209" s="28">
        <f t="shared" si="12"/>
        <v>15</v>
      </c>
      <c r="H209" s="28">
        <f t="shared" si="13"/>
        <v>2020</v>
      </c>
      <c r="I209" s="29" t="str">
        <f t="shared" si="14"/>
        <v>Aug</v>
      </c>
      <c r="J209" s="29" t="str">
        <f>_xlfn.XLOOKUP(B209,Branch_Summary!A:A,Branch_Summary!B:B,"Not Found",0)</f>
        <v>Irbid</v>
      </c>
      <c r="K209" s="29" t="str">
        <f>_xlfn.XLOOKUP(B209,Branch_Summary!A:A,Branch_Summary!C:C,"Not Found",0)</f>
        <v>Withdrawal</v>
      </c>
      <c r="L209" s="29" t="str">
        <f t="shared" si="15"/>
        <v>Low Value</v>
      </c>
    </row>
    <row r="210" spans="1:12">
      <c r="A210" s="24">
        <v>10197</v>
      </c>
      <c r="B210" s="24" t="s">
        <v>24</v>
      </c>
      <c r="C210" s="24" t="s">
        <v>25</v>
      </c>
      <c r="D210" s="25" t="s">
        <v>37</v>
      </c>
      <c r="E210" s="26">
        <v>2754</v>
      </c>
      <c r="F210" s="27">
        <v>44451</v>
      </c>
      <c r="G210" s="28">
        <f t="shared" si="12"/>
        <v>12</v>
      </c>
      <c r="H210" s="28">
        <f t="shared" si="13"/>
        <v>2021</v>
      </c>
      <c r="I210" s="29" t="str">
        <f t="shared" si="14"/>
        <v>Sep</v>
      </c>
      <c r="J210" s="29" t="str">
        <f>_xlfn.XLOOKUP(B210,Branch_Summary!A:A,Branch_Summary!B:B,"Not Found",0)</f>
        <v>Irbid</v>
      </c>
      <c r="K210" s="29" t="str">
        <f>_xlfn.XLOOKUP(B210,Branch_Summary!A:A,Branch_Summary!C:C,"Not Found",0)</f>
        <v>Withdrawal</v>
      </c>
      <c r="L210" s="29" t="str">
        <f t="shared" si="15"/>
        <v>Low Value</v>
      </c>
    </row>
    <row r="211" spans="1:12">
      <c r="A211" s="24">
        <v>10222</v>
      </c>
      <c r="B211" s="24" t="s">
        <v>24</v>
      </c>
      <c r="C211" s="24" t="s">
        <v>25</v>
      </c>
      <c r="D211" s="25" t="s">
        <v>21</v>
      </c>
      <c r="E211" s="26">
        <v>3613</v>
      </c>
      <c r="F211" s="27">
        <v>45250</v>
      </c>
      <c r="G211" s="28">
        <f t="shared" si="12"/>
        <v>20</v>
      </c>
      <c r="H211" s="28">
        <f t="shared" si="13"/>
        <v>2023</v>
      </c>
      <c r="I211" s="29" t="str">
        <f t="shared" si="14"/>
        <v>Nov</v>
      </c>
      <c r="J211" s="29" t="str">
        <f>_xlfn.XLOOKUP(B211,Branch_Summary!A:A,Branch_Summary!B:B,"Not Found",0)</f>
        <v>Irbid</v>
      </c>
      <c r="K211" s="29" t="str">
        <f>_xlfn.XLOOKUP(B211,Branch_Summary!A:A,Branch_Summary!C:C,"Not Found",0)</f>
        <v>Withdrawal</v>
      </c>
      <c r="L211" s="29" t="str">
        <f t="shared" si="15"/>
        <v>Low Value</v>
      </c>
    </row>
    <row r="212" spans="1:12">
      <c r="A212" s="24">
        <v>10236</v>
      </c>
      <c r="B212" s="24" t="s">
        <v>24</v>
      </c>
      <c r="C212" s="24" t="s">
        <v>25</v>
      </c>
      <c r="D212" s="25" t="s">
        <v>37</v>
      </c>
      <c r="E212" s="26">
        <v>175</v>
      </c>
      <c r="F212" s="27">
        <v>45037</v>
      </c>
      <c r="G212" s="28">
        <f t="shared" si="12"/>
        <v>21</v>
      </c>
      <c r="H212" s="28">
        <f t="shared" si="13"/>
        <v>2023</v>
      </c>
      <c r="I212" s="29" t="str">
        <f t="shared" si="14"/>
        <v>Apr</v>
      </c>
      <c r="J212" s="29" t="str">
        <f>_xlfn.XLOOKUP(B212,Branch_Summary!A:A,Branch_Summary!B:B,"Not Found",0)</f>
        <v>Irbid</v>
      </c>
      <c r="K212" s="29" t="str">
        <f>_xlfn.XLOOKUP(B212,Branch_Summary!A:A,Branch_Summary!C:C,"Not Found",0)</f>
        <v>Withdrawal</v>
      </c>
      <c r="L212" s="29" t="str">
        <f t="shared" si="15"/>
        <v>Low Value</v>
      </c>
    </row>
    <row r="213" spans="1:12">
      <c r="A213" s="24">
        <v>10247</v>
      </c>
      <c r="B213" s="24" t="s">
        <v>24</v>
      </c>
      <c r="C213" s="24" t="s">
        <v>25</v>
      </c>
      <c r="D213" s="25" t="s">
        <v>26</v>
      </c>
      <c r="E213" s="26">
        <v>1467</v>
      </c>
      <c r="F213" s="27">
        <v>45568</v>
      </c>
      <c r="G213" s="28">
        <f t="shared" si="12"/>
        <v>3</v>
      </c>
      <c r="H213" s="28">
        <f t="shared" si="13"/>
        <v>2024</v>
      </c>
      <c r="I213" s="29" t="str">
        <f t="shared" si="14"/>
        <v>Oct</v>
      </c>
      <c r="J213" s="29" t="str">
        <f>_xlfn.XLOOKUP(B213,Branch_Summary!A:A,Branch_Summary!B:B,"Not Found",0)</f>
        <v>Irbid</v>
      </c>
      <c r="K213" s="29" t="str">
        <f>_xlfn.XLOOKUP(B213,Branch_Summary!A:A,Branch_Summary!C:C,"Not Found",0)</f>
        <v>Withdrawal</v>
      </c>
      <c r="L213" s="29" t="str">
        <f t="shared" si="15"/>
        <v>Low Value</v>
      </c>
    </row>
    <row r="214" spans="1:12">
      <c r="A214" s="24">
        <v>10004</v>
      </c>
      <c r="B214" s="24" t="s">
        <v>19</v>
      </c>
      <c r="C214" s="24" t="s">
        <v>20</v>
      </c>
      <c r="D214" s="25" t="s">
        <v>21</v>
      </c>
      <c r="E214" s="26">
        <v>3581</v>
      </c>
      <c r="F214" s="27">
        <v>43814</v>
      </c>
      <c r="G214" s="28">
        <f t="shared" si="12"/>
        <v>15</v>
      </c>
      <c r="H214" s="28">
        <f t="shared" si="13"/>
        <v>2019</v>
      </c>
      <c r="I214" s="29" t="str">
        <f t="shared" si="14"/>
        <v>Dec</v>
      </c>
      <c r="J214" s="29" t="str">
        <f>_xlfn.XLOOKUP(B214,Branch_Summary!A:A,Branch_Summary!B:B,"Not Found",0)</f>
        <v>Aqaba</v>
      </c>
      <c r="K214" s="29" t="str">
        <f>_xlfn.XLOOKUP(B214,Branch_Summary!A:A,Branch_Summary!C:C,"Not Found",0)</f>
        <v>Deposit</v>
      </c>
      <c r="L214" s="29" t="str">
        <f t="shared" si="15"/>
        <v>Low Value</v>
      </c>
    </row>
    <row r="215" spans="1:12">
      <c r="A215" s="24">
        <v>10018</v>
      </c>
      <c r="B215" s="24" t="s">
        <v>19</v>
      </c>
      <c r="C215" s="24" t="s">
        <v>20</v>
      </c>
      <c r="D215" s="25" t="s">
        <v>26</v>
      </c>
      <c r="E215" s="26">
        <v>2500</v>
      </c>
      <c r="F215" s="27">
        <v>44193</v>
      </c>
      <c r="G215" s="28">
        <f t="shared" si="12"/>
        <v>28</v>
      </c>
      <c r="H215" s="28">
        <f t="shared" si="13"/>
        <v>2020</v>
      </c>
      <c r="I215" s="29" t="str">
        <f t="shared" si="14"/>
        <v>Dec</v>
      </c>
      <c r="J215" s="29" t="str">
        <f>_xlfn.XLOOKUP(B215,Branch_Summary!A:A,Branch_Summary!B:B,"Not Found",0)</f>
        <v>Aqaba</v>
      </c>
      <c r="K215" s="29" t="str">
        <f>_xlfn.XLOOKUP(B215,Branch_Summary!A:A,Branch_Summary!C:C,"Not Found",0)</f>
        <v>Deposit</v>
      </c>
      <c r="L215" s="29" t="str">
        <f t="shared" si="15"/>
        <v>Low Value</v>
      </c>
    </row>
    <row r="216" spans="1:12">
      <c r="A216" s="24">
        <v>10020</v>
      </c>
      <c r="B216" s="24" t="s">
        <v>19</v>
      </c>
      <c r="C216" s="24" t="s">
        <v>20</v>
      </c>
      <c r="D216" s="25" t="s">
        <v>21</v>
      </c>
      <c r="E216" s="26">
        <v>3929</v>
      </c>
      <c r="F216" s="27">
        <v>44448</v>
      </c>
      <c r="G216" s="28">
        <f t="shared" si="12"/>
        <v>9</v>
      </c>
      <c r="H216" s="28">
        <f t="shared" si="13"/>
        <v>2021</v>
      </c>
      <c r="I216" s="29" t="str">
        <f t="shared" si="14"/>
        <v>Sep</v>
      </c>
      <c r="J216" s="29" t="str">
        <f>_xlfn.XLOOKUP(B216,Branch_Summary!A:A,Branch_Summary!B:B,"Not Found",0)</f>
        <v>Aqaba</v>
      </c>
      <c r="K216" s="29" t="str">
        <f>_xlfn.XLOOKUP(B216,Branch_Summary!A:A,Branch_Summary!C:C,"Not Found",0)</f>
        <v>Deposit</v>
      </c>
      <c r="L216" s="29" t="str">
        <f t="shared" si="15"/>
        <v>Low Value</v>
      </c>
    </row>
    <row r="217" spans="1:12">
      <c r="A217" s="24">
        <v>10022</v>
      </c>
      <c r="B217" s="24" t="s">
        <v>19</v>
      </c>
      <c r="C217" s="24" t="s">
        <v>20</v>
      </c>
      <c r="D217" s="25" t="s">
        <v>26</v>
      </c>
      <c r="E217" s="26">
        <v>4993</v>
      </c>
      <c r="F217" s="27">
        <v>44246</v>
      </c>
      <c r="G217" s="28">
        <f t="shared" si="12"/>
        <v>19</v>
      </c>
      <c r="H217" s="28">
        <f t="shared" si="13"/>
        <v>2021</v>
      </c>
      <c r="I217" s="29" t="str">
        <f t="shared" si="14"/>
        <v>Feb</v>
      </c>
      <c r="J217" s="29" t="str">
        <f>_xlfn.XLOOKUP(B217,Branch_Summary!A:A,Branch_Summary!B:B,"Not Found",0)</f>
        <v>Aqaba</v>
      </c>
      <c r="K217" s="29" t="str">
        <f>_xlfn.XLOOKUP(B217,Branch_Summary!A:A,Branch_Summary!C:C,"Not Found",0)</f>
        <v>Deposit</v>
      </c>
      <c r="L217" s="29" t="str">
        <f t="shared" si="15"/>
        <v>High Value</v>
      </c>
    </row>
    <row r="218" spans="1:12">
      <c r="A218" s="24">
        <v>10035</v>
      </c>
      <c r="B218" s="24" t="s">
        <v>19</v>
      </c>
      <c r="C218" s="24" t="s">
        <v>20</v>
      </c>
      <c r="D218" s="25" t="s">
        <v>39</v>
      </c>
      <c r="E218" s="26">
        <v>3002</v>
      </c>
      <c r="F218" s="27">
        <v>44284</v>
      </c>
      <c r="G218" s="28">
        <f t="shared" si="12"/>
        <v>29</v>
      </c>
      <c r="H218" s="28">
        <f t="shared" si="13"/>
        <v>2021</v>
      </c>
      <c r="I218" s="29" t="str">
        <f t="shared" si="14"/>
        <v>Mar</v>
      </c>
      <c r="J218" s="29" t="str">
        <f>_xlfn.XLOOKUP(B218,Branch_Summary!A:A,Branch_Summary!B:B,"Not Found",0)</f>
        <v>Aqaba</v>
      </c>
      <c r="K218" s="29" t="str">
        <f>_xlfn.XLOOKUP(B218,Branch_Summary!A:A,Branch_Summary!C:C,"Not Found",0)</f>
        <v>Deposit</v>
      </c>
      <c r="L218" s="29" t="str">
        <f t="shared" si="15"/>
        <v>Low Value</v>
      </c>
    </row>
    <row r="219" spans="1:12">
      <c r="A219" s="24">
        <v>10041</v>
      </c>
      <c r="B219" s="24" t="s">
        <v>19</v>
      </c>
      <c r="C219" s="24" t="s">
        <v>20</v>
      </c>
      <c r="D219" s="25" t="s">
        <v>37</v>
      </c>
      <c r="E219" s="26">
        <v>797</v>
      </c>
      <c r="F219" s="27">
        <v>44598</v>
      </c>
      <c r="G219" s="28">
        <f t="shared" si="12"/>
        <v>6</v>
      </c>
      <c r="H219" s="28">
        <f t="shared" si="13"/>
        <v>2022</v>
      </c>
      <c r="I219" s="29" t="str">
        <f t="shared" si="14"/>
        <v>Feb</v>
      </c>
      <c r="J219" s="29" t="str">
        <f>_xlfn.XLOOKUP(B219,Branch_Summary!A:A,Branch_Summary!B:B,"Not Found",0)</f>
        <v>Aqaba</v>
      </c>
      <c r="K219" s="29" t="str">
        <f>_xlfn.XLOOKUP(B219,Branch_Summary!A:A,Branch_Summary!C:C,"Not Found",0)</f>
        <v>Deposit</v>
      </c>
      <c r="L219" s="29" t="str">
        <f t="shared" si="15"/>
        <v>Low Value</v>
      </c>
    </row>
    <row r="220" spans="1:12">
      <c r="A220" s="24">
        <v>10043</v>
      </c>
      <c r="B220" s="24" t="s">
        <v>19</v>
      </c>
      <c r="C220" s="24" t="s">
        <v>20</v>
      </c>
      <c r="D220" s="25" t="s">
        <v>38</v>
      </c>
      <c r="E220" s="26">
        <v>4750</v>
      </c>
      <c r="F220" s="27">
        <v>45210</v>
      </c>
      <c r="G220" s="28">
        <f t="shared" si="12"/>
        <v>11</v>
      </c>
      <c r="H220" s="28">
        <f t="shared" si="13"/>
        <v>2023</v>
      </c>
      <c r="I220" s="29" t="str">
        <f t="shared" si="14"/>
        <v>Oct</v>
      </c>
      <c r="J220" s="29" t="str">
        <f>_xlfn.XLOOKUP(B220,Branch_Summary!A:A,Branch_Summary!B:B,"Not Found",0)</f>
        <v>Aqaba</v>
      </c>
      <c r="K220" s="29" t="str">
        <f>_xlfn.XLOOKUP(B220,Branch_Summary!A:A,Branch_Summary!C:C,"Not Found",0)</f>
        <v>Deposit</v>
      </c>
      <c r="L220" s="29" t="str">
        <f t="shared" si="15"/>
        <v>High Value</v>
      </c>
    </row>
    <row r="221" spans="1:12">
      <c r="A221" s="24">
        <v>10046</v>
      </c>
      <c r="B221" s="24" t="s">
        <v>19</v>
      </c>
      <c r="C221" s="24" t="s">
        <v>20</v>
      </c>
      <c r="D221" s="25" t="s">
        <v>26</v>
      </c>
      <c r="E221" s="26">
        <v>2362</v>
      </c>
      <c r="F221" s="27">
        <v>43658</v>
      </c>
      <c r="G221" s="28">
        <f t="shared" si="12"/>
        <v>12</v>
      </c>
      <c r="H221" s="28">
        <f t="shared" si="13"/>
        <v>2019</v>
      </c>
      <c r="I221" s="29" t="str">
        <f t="shared" si="14"/>
        <v>Jul</v>
      </c>
      <c r="J221" s="29" t="str">
        <f>_xlfn.XLOOKUP(B221,Branch_Summary!A:A,Branch_Summary!B:B,"Not Found",0)</f>
        <v>Aqaba</v>
      </c>
      <c r="K221" s="29" t="str">
        <f>_xlfn.XLOOKUP(B221,Branch_Summary!A:A,Branch_Summary!C:C,"Not Found",0)</f>
        <v>Deposit</v>
      </c>
      <c r="L221" s="29" t="str">
        <f t="shared" si="15"/>
        <v>Low Value</v>
      </c>
    </row>
    <row r="222" spans="1:12">
      <c r="A222" s="24">
        <v>10055</v>
      </c>
      <c r="B222" s="24" t="s">
        <v>19</v>
      </c>
      <c r="C222" s="24" t="s">
        <v>20</v>
      </c>
      <c r="D222" s="25" t="s">
        <v>21</v>
      </c>
      <c r="E222" s="26">
        <v>157</v>
      </c>
      <c r="F222" s="27">
        <v>44389</v>
      </c>
      <c r="G222" s="28">
        <f t="shared" si="12"/>
        <v>12</v>
      </c>
      <c r="H222" s="28">
        <f t="shared" si="13"/>
        <v>2021</v>
      </c>
      <c r="I222" s="29" t="str">
        <f t="shared" si="14"/>
        <v>Jul</v>
      </c>
      <c r="J222" s="29" t="str">
        <f>_xlfn.XLOOKUP(B222,Branch_Summary!A:A,Branch_Summary!B:B,"Not Found",0)</f>
        <v>Aqaba</v>
      </c>
      <c r="K222" s="29" t="str">
        <f>_xlfn.XLOOKUP(B222,Branch_Summary!A:A,Branch_Summary!C:C,"Not Found",0)</f>
        <v>Deposit</v>
      </c>
      <c r="L222" s="29" t="str">
        <f t="shared" si="15"/>
        <v>Low Value</v>
      </c>
    </row>
    <row r="223" spans="1:12">
      <c r="A223" s="24">
        <v>10071</v>
      </c>
      <c r="B223" s="24" t="s">
        <v>19</v>
      </c>
      <c r="C223" s="24" t="s">
        <v>20</v>
      </c>
      <c r="D223" s="25" t="s">
        <v>37</v>
      </c>
      <c r="E223" s="26">
        <v>3491</v>
      </c>
      <c r="F223" s="27">
        <v>44575</v>
      </c>
      <c r="G223" s="28">
        <f t="shared" si="12"/>
        <v>14</v>
      </c>
      <c r="H223" s="28">
        <f t="shared" si="13"/>
        <v>2022</v>
      </c>
      <c r="I223" s="29" t="str">
        <f t="shared" si="14"/>
        <v>Jan</v>
      </c>
      <c r="J223" s="29" t="str">
        <f>_xlfn.XLOOKUP(B223,Branch_Summary!A:A,Branch_Summary!B:B,"Not Found",0)</f>
        <v>Aqaba</v>
      </c>
      <c r="K223" s="29" t="str">
        <f>_xlfn.XLOOKUP(B223,Branch_Summary!A:A,Branch_Summary!C:C,"Not Found",0)</f>
        <v>Deposit</v>
      </c>
      <c r="L223" s="29" t="str">
        <f t="shared" si="15"/>
        <v>Low Value</v>
      </c>
    </row>
    <row r="224" spans="1:12">
      <c r="A224" s="24">
        <v>10080</v>
      </c>
      <c r="B224" s="24" t="s">
        <v>19</v>
      </c>
      <c r="C224" s="24" t="s">
        <v>20</v>
      </c>
      <c r="D224" s="25" t="s">
        <v>26</v>
      </c>
      <c r="E224" s="26">
        <v>4641</v>
      </c>
      <c r="F224" s="27">
        <v>44469</v>
      </c>
      <c r="G224" s="28">
        <f t="shared" si="12"/>
        <v>30</v>
      </c>
      <c r="H224" s="28">
        <f t="shared" si="13"/>
        <v>2021</v>
      </c>
      <c r="I224" s="29" t="str">
        <f t="shared" si="14"/>
        <v>Sep</v>
      </c>
      <c r="J224" s="29" t="str">
        <f>_xlfn.XLOOKUP(B224,Branch_Summary!A:A,Branch_Summary!B:B,"Not Found",0)</f>
        <v>Aqaba</v>
      </c>
      <c r="K224" s="29" t="str">
        <f>_xlfn.XLOOKUP(B224,Branch_Summary!A:A,Branch_Summary!C:C,"Not Found",0)</f>
        <v>Deposit</v>
      </c>
      <c r="L224" s="29" t="str">
        <f t="shared" si="15"/>
        <v>High Value</v>
      </c>
    </row>
    <row r="225" spans="1:12">
      <c r="A225" s="24">
        <v>10084</v>
      </c>
      <c r="B225" s="24" t="s">
        <v>19</v>
      </c>
      <c r="C225" s="24" t="s">
        <v>20</v>
      </c>
      <c r="D225" s="25" t="s">
        <v>26</v>
      </c>
      <c r="E225" s="26">
        <v>2777</v>
      </c>
      <c r="F225" s="27">
        <v>43875</v>
      </c>
      <c r="G225" s="28">
        <f t="shared" si="12"/>
        <v>14</v>
      </c>
      <c r="H225" s="28">
        <f t="shared" si="13"/>
        <v>2020</v>
      </c>
      <c r="I225" s="29" t="str">
        <f t="shared" si="14"/>
        <v>Feb</v>
      </c>
      <c r="J225" s="29" t="str">
        <f>_xlfn.XLOOKUP(B225,Branch_Summary!A:A,Branch_Summary!B:B,"Not Found",0)</f>
        <v>Aqaba</v>
      </c>
      <c r="K225" s="29" t="str">
        <f>_xlfn.XLOOKUP(B225,Branch_Summary!A:A,Branch_Summary!C:C,"Not Found",0)</f>
        <v>Deposit</v>
      </c>
      <c r="L225" s="29" t="str">
        <f t="shared" si="15"/>
        <v>Low Value</v>
      </c>
    </row>
    <row r="226" spans="1:12">
      <c r="A226" s="24">
        <v>10096</v>
      </c>
      <c r="B226" s="24" t="s">
        <v>19</v>
      </c>
      <c r="C226" s="24" t="s">
        <v>20</v>
      </c>
      <c r="D226" s="25" t="s">
        <v>26</v>
      </c>
      <c r="E226" s="26">
        <v>1765</v>
      </c>
      <c r="F226" s="27">
        <v>44806</v>
      </c>
      <c r="G226" s="28">
        <f t="shared" si="12"/>
        <v>2</v>
      </c>
      <c r="H226" s="28">
        <f t="shared" si="13"/>
        <v>2022</v>
      </c>
      <c r="I226" s="29" t="str">
        <f t="shared" si="14"/>
        <v>Sep</v>
      </c>
      <c r="J226" s="29" t="str">
        <f>_xlfn.XLOOKUP(B226,Branch_Summary!A:A,Branch_Summary!B:B,"Not Found",0)</f>
        <v>Aqaba</v>
      </c>
      <c r="K226" s="29" t="str">
        <f>_xlfn.XLOOKUP(B226,Branch_Summary!A:A,Branch_Summary!C:C,"Not Found",0)</f>
        <v>Deposit</v>
      </c>
      <c r="L226" s="29" t="str">
        <f t="shared" si="15"/>
        <v>Low Value</v>
      </c>
    </row>
    <row r="227" spans="1:12">
      <c r="A227" s="24">
        <v>10103</v>
      </c>
      <c r="B227" s="24" t="s">
        <v>19</v>
      </c>
      <c r="C227" s="24" t="s">
        <v>20</v>
      </c>
      <c r="D227" s="25" t="s">
        <v>37</v>
      </c>
      <c r="E227" s="26">
        <v>3394</v>
      </c>
      <c r="F227" s="27">
        <v>45475</v>
      </c>
      <c r="G227" s="28">
        <f t="shared" si="12"/>
        <v>2</v>
      </c>
      <c r="H227" s="28">
        <f t="shared" si="13"/>
        <v>2024</v>
      </c>
      <c r="I227" s="29" t="str">
        <f t="shared" si="14"/>
        <v>Jul</v>
      </c>
      <c r="J227" s="29" t="str">
        <f>_xlfn.XLOOKUP(B227,Branch_Summary!A:A,Branch_Summary!B:B,"Not Found",0)</f>
        <v>Aqaba</v>
      </c>
      <c r="K227" s="29" t="str">
        <f>_xlfn.XLOOKUP(B227,Branch_Summary!A:A,Branch_Summary!C:C,"Not Found",0)</f>
        <v>Deposit</v>
      </c>
      <c r="L227" s="29" t="str">
        <f t="shared" si="15"/>
        <v>Low Value</v>
      </c>
    </row>
    <row r="228" spans="1:12">
      <c r="A228" s="24">
        <v>10117</v>
      </c>
      <c r="B228" s="24" t="s">
        <v>19</v>
      </c>
      <c r="C228" s="24" t="s">
        <v>20</v>
      </c>
      <c r="D228" s="25" t="s">
        <v>21</v>
      </c>
      <c r="E228" s="26">
        <v>663</v>
      </c>
      <c r="F228" s="27">
        <v>45383</v>
      </c>
      <c r="G228" s="28">
        <f t="shared" si="12"/>
        <v>1</v>
      </c>
      <c r="H228" s="28">
        <f t="shared" si="13"/>
        <v>2024</v>
      </c>
      <c r="I228" s="29" t="str">
        <f t="shared" si="14"/>
        <v>Apr</v>
      </c>
      <c r="J228" s="29" t="str">
        <f>_xlfn.XLOOKUP(B228,Branch_Summary!A:A,Branch_Summary!B:B,"Not Found",0)</f>
        <v>Aqaba</v>
      </c>
      <c r="K228" s="29" t="str">
        <f>_xlfn.XLOOKUP(B228,Branch_Summary!A:A,Branch_Summary!C:C,"Not Found",0)</f>
        <v>Deposit</v>
      </c>
      <c r="L228" s="29" t="str">
        <f t="shared" si="15"/>
        <v>Low Value</v>
      </c>
    </row>
    <row r="229" spans="1:12">
      <c r="A229" s="24">
        <v>10123</v>
      </c>
      <c r="B229" s="24" t="s">
        <v>19</v>
      </c>
      <c r="C229" s="24" t="s">
        <v>20</v>
      </c>
      <c r="D229" s="25" t="s">
        <v>21</v>
      </c>
      <c r="E229" s="26">
        <v>1946</v>
      </c>
      <c r="F229" s="27">
        <v>45382</v>
      </c>
      <c r="G229" s="28">
        <f t="shared" si="12"/>
        <v>31</v>
      </c>
      <c r="H229" s="28">
        <f t="shared" si="13"/>
        <v>2024</v>
      </c>
      <c r="I229" s="29" t="str">
        <f t="shared" si="14"/>
        <v>Mar</v>
      </c>
      <c r="J229" s="29" t="str">
        <f>_xlfn.XLOOKUP(B229,Branch_Summary!A:A,Branch_Summary!B:B,"Not Found",0)</f>
        <v>Aqaba</v>
      </c>
      <c r="K229" s="29" t="str">
        <f>_xlfn.XLOOKUP(B229,Branch_Summary!A:A,Branch_Summary!C:C,"Not Found",0)</f>
        <v>Deposit</v>
      </c>
      <c r="L229" s="29" t="str">
        <f t="shared" si="15"/>
        <v>Low Value</v>
      </c>
    </row>
    <row r="230" spans="1:12">
      <c r="A230" s="24">
        <v>10132</v>
      </c>
      <c r="B230" s="24" t="s">
        <v>19</v>
      </c>
      <c r="C230" s="24" t="s">
        <v>20</v>
      </c>
      <c r="D230" s="25" t="s">
        <v>37</v>
      </c>
      <c r="E230" s="26">
        <v>3474</v>
      </c>
      <c r="F230" s="27">
        <v>43561</v>
      </c>
      <c r="G230" s="28">
        <f t="shared" si="12"/>
        <v>6</v>
      </c>
      <c r="H230" s="28">
        <f t="shared" si="13"/>
        <v>2019</v>
      </c>
      <c r="I230" s="29" t="str">
        <f t="shared" si="14"/>
        <v>Apr</v>
      </c>
      <c r="J230" s="29" t="str">
        <f>_xlfn.XLOOKUP(B230,Branch_Summary!A:A,Branch_Summary!B:B,"Not Found",0)</f>
        <v>Aqaba</v>
      </c>
      <c r="K230" s="29" t="str">
        <f>_xlfn.XLOOKUP(B230,Branch_Summary!A:A,Branch_Summary!C:C,"Not Found",0)</f>
        <v>Deposit</v>
      </c>
      <c r="L230" s="29" t="str">
        <f t="shared" si="15"/>
        <v>Low Value</v>
      </c>
    </row>
    <row r="231" spans="1:12">
      <c r="A231" s="24">
        <v>10148</v>
      </c>
      <c r="B231" s="24" t="s">
        <v>19</v>
      </c>
      <c r="C231" s="24" t="s">
        <v>20</v>
      </c>
      <c r="D231" s="25" t="s">
        <v>37</v>
      </c>
      <c r="E231" s="26">
        <v>2086</v>
      </c>
      <c r="F231" s="27">
        <v>43856</v>
      </c>
      <c r="G231" s="28">
        <f t="shared" si="12"/>
        <v>26</v>
      </c>
      <c r="H231" s="28">
        <f t="shared" si="13"/>
        <v>2020</v>
      </c>
      <c r="I231" s="29" t="str">
        <f t="shared" si="14"/>
        <v>Jan</v>
      </c>
      <c r="J231" s="29" t="str">
        <f>_xlfn.XLOOKUP(B231,Branch_Summary!A:A,Branch_Summary!B:B,"Not Found",0)</f>
        <v>Aqaba</v>
      </c>
      <c r="K231" s="29" t="str">
        <f>_xlfn.XLOOKUP(B231,Branch_Summary!A:A,Branch_Summary!C:C,"Not Found",0)</f>
        <v>Deposit</v>
      </c>
      <c r="L231" s="29" t="str">
        <f t="shared" si="15"/>
        <v>Low Value</v>
      </c>
    </row>
    <row r="232" spans="1:12">
      <c r="A232" s="24">
        <v>10166</v>
      </c>
      <c r="B232" s="24" t="s">
        <v>19</v>
      </c>
      <c r="C232" s="24" t="s">
        <v>20</v>
      </c>
      <c r="D232" s="25" t="s">
        <v>21</v>
      </c>
      <c r="E232" s="26">
        <v>2112</v>
      </c>
      <c r="F232" s="27">
        <v>44189</v>
      </c>
      <c r="G232" s="28">
        <f t="shared" si="12"/>
        <v>24</v>
      </c>
      <c r="H232" s="28">
        <f t="shared" si="13"/>
        <v>2020</v>
      </c>
      <c r="I232" s="29" t="str">
        <f t="shared" si="14"/>
        <v>Dec</v>
      </c>
      <c r="J232" s="29" t="str">
        <f>_xlfn.XLOOKUP(B232,Branch_Summary!A:A,Branch_Summary!B:B,"Not Found",0)</f>
        <v>Aqaba</v>
      </c>
      <c r="K232" s="29" t="str">
        <f>_xlfn.XLOOKUP(B232,Branch_Summary!A:A,Branch_Summary!C:C,"Not Found",0)</f>
        <v>Deposit</v>
      </c>
      <c r="L232" s="29" t="str">
        <f t="shared" si="15"/>
        <v>Low Value</v>
      </c>
    </row>
    <row r="233" spans="1:12">
      <c r="A233" s="24">
        <v>10169</v>
      </c>
      <c r="B233" s="24" t="s">
        <v>19</v>
      </c>
      <c r="C233" s="24" t="s">
        <v>20</v>
      </c>
      <c r="D233" s="25" t="s">
        <v>21</v>
      </c>
      <c r="E233" s="26">
        <v>3681</v>
      </c>
      <c r="F233" s="27">
        <v>44986</v>
      </c>
      <c r="G233" s="28">
        <f t="shared" si="12"/>
        <v>1</v>
      </c>
      <c r="H233" s="28">
        <f t="shared" si="13"/>
        <v>2023</v>
      </c>
      <c r="I233" s="29" t="str">
        <f t="shared" si="14"/>
        <v>Mar</v>
      </c>
      <c r="J233" s="29" t="str">
        <f>_xlfn.XLOOKUP(B233,Branch_Summary!A:A,Branch_Summary!B:B,"Not Found",0)</f>
        <v>Aqaba</v>
      </c>
      <c r="K233" s="29" t="str">
        <f>_xlfn.XLOOKUP(B233,Branch_Summary!A:A,Branch_Summary!C:C,"Not Found",0)</f>
        <v>Deposit</v>
      </c>
      <c r="L233" s="29" t="str">
        <f t="shared" si="15"/>
        <v>Low Value</v>
      </c>
    </row>
    <row r="234" spans="1:12">
      <c r="A234" s="24">
        <v>10172</v>
      </c>
      <c r="B234" s="24" t="s">
        <v>19</v>
      </c>
      <c r="C234" s="24" t="s">
        <v>20</v>
      </c>
      <c r="D234" s="25" t="s">
        <v>21</v>
      </c>
      <c r="E234" s="26">
        <v>4097</v>
      </c>
      <c r="F234" s="27">
        <v>44580</v>
      </c>
      <c r="G234" s="28">
        <f t="shared" si="12"/>
        <v>19</v>
      </c>
      <c r="H234" s="28">
        <f t="shared" si="13"/>
        <v>2022</v>
      </c>
      <c r="I234" s="29" t="str">
        <f t="shared" si="14"/>
        <v>Jan</v>
      </c>
      <c r="J234" s="29" t="str">
        <f>_xlfn.XLOOKUP(B234,Branch_Summary!A:A,Branch_Summary!B:B,"Not Found",0)</f>
        <v>Aqaba</v>
      </c>
      <c r="K234" s="29" t="str">
        <f>_xlfn.XLOOKUP(B234,Branch_Summary!A:A,Branch_Summary!C:C,"Not Found",0)</f>
        <v>Deposit</v>
      </c>
      <c r="L234" s="29" t="str">
        <f t="shared" si="15"/>
        <v>High Value</v>
      </c>
    </row>
    <row r="235" spans="1:12">
      <c r="A235" s="24">
        <v>10175</v>
      </c>
      <c r="B235" s="24" t="s">
        <v>19</v>
      </c>
      <c r="C235" s="24" t="s">
        <v>20</v>
      </c>
      <c r="D235" s="25" t="s">
        <v>21</v>
      </c>
      <c r="E235" s="26">
        <v>3340</v>
      </c>
      <c r="F235" s="27">
        <v>45017</v>
      </c>
      <c r="G235" s="28">
        <f t="shared" si="12"/>
        <v>1</v>
      </c>
      <c r="H235" s="28">
        <f t="shared" si="13"/>
        <v>2023</v>
      </c>
      <c r="I235" s="29" t="str">
        <f t="shared" si="14"/>
        <v>Apr</v>
      </c>
      <c r="J235" s="29" t="str">
        <f>_xlfn.XLOOKUP(B235,Branch_Summary!A:A,Branch_Summary!B:B,"Not Found",0)</f>
        <v>Aqaba</v>
      </c>
      <c r="K235" s="29" t="str">
        <f>_xlfn.XLOOKUP(B235,Branch_Summary!A:A,Branch_Summary!C:C,"Not Found",0)</f>
        <v>Deposit</v>
      </c>
      <c r="L235" s="29" t="str">
        <f t="shared" si="15"/>
        <v>Low Value</v>
      </c>
    </row>
    <row r="236" spans="1:12">
      <c r="A236" s="24">
        <v>10183</v>
      </c>
      <c r="B236" s="24" t="s">
        <v>19</v>
      </c>
      <c r="C236" s="24" t="s">
        <v>20</v>
      </c>
      <c r="D236" s="25" t="s">
        <v>21</v>
      </c>
      <c r="E236" s="26">
        <v>1780</v>
      </c>
      <c r="F236" s="27">
        <v>45465</v>
      </c>
      <c r="G236" s="28">
        <f t="shared" si="12"/>
        <v>22</v>
      </c>
      <c r="H236" s="28">
        <f t="shared" si="13"/>
        <v>2024</v>
      </c>
      <c r="I236" s="29" t="str">
        <f t="shared" si="14"/>
        <v>Jun</v>
      </c>
      <c r="J236" s="29" t="str">
        <f>_xlfn.XLOOKUP(B236,Branch_Summary!A:A,Branch_Summary!B:B,"Not Found",0)</f>
        <v>Aqaba</v>
      </c>
      <c r="K236" s="29" t="str">
        <f>_xlfn.XLOOKUP(B236,Branch_Summary!A:A,Branch_Summary!C:C,"Not Found",0)</f>
        <v>Deposit</v>
      </c>
      <c r="L236" s="29" t="str">
        <f t="shared" si="15"/>
        <v>Low Value</v>
      </c>
    </row>
    <row r="237" spans="1:12">
      <c r="A237" s="24">
        <v>10192</v>
      </c>
      <c r="B237" s="24" t="s">
        <v>19</v>
      </c>
      <c r="C237" s="24" t="s">
        <v>20</v>
      </c>
      <c r="D237" s="25" t="s">
        <v>21</v>
      </c>
      <c r="E237" s="26">
        <v>3895</v>
      </c>
      <c r="F237" s="27">
        <v>43527</v>
      </c>
      <c r="G237" s="28">
        <f t="shared" si="12"/>
        <v>3</v>
      </c>
      <c r="H237" s="28">
        <f t="shared" si="13"/>
        <v>2019</v>
      </c>
      <c r="I237" s="29" t="str">
        <f t="shared" si="14"/>
        <v>Mar</v>
      </c>
      <c r="J237" s="29" t="str">
        <f>_xlfn.XLOOKUP(B237,Branch_Summary!A:A,Branch_Summary!B:B,"Not Found",0)</f>
        <v>Aqaba</v>
      </c>
      <c r="K237" s="29" t="str">
        <f>_xlfn.XLOOKUP(B237,Branch_Summary!A:A,Branch_Summary!C:C,"Not Found",0)</f>
        <v>Deposit</v>
      </c>
      <c r="L237" s="29" t="str">
        <f t="shared" si="15"/>
        <v>Low Value</v>
      </c>
    </row>
    <row r="238" spans="1:12">
      <c r="A238" s="24">
        <v>10243</v>
      </c>
      <c r="B238" s="24" t="s">
        <v>19</v>
      </c>
      <c r="C238" s="24" t="s">
        <v>20</v>
      </c>
      <c r="D238" s="25" t="s">
        <v>21</v>
      </c>
      <c r="E238" s="26">
        <v>4419</v>
      </c>
      <c r="F238" s="27">
        <v>43470</v>
      </c>
      <c r="G238" s="28">
        <f t="shared" si="12"/>
        <v>5</v>
      </c>
      <c r="H238" s="28">
        <f t="shared" si="13"/>
        <v>2019</v>
      </c>
      <c r="I238" s="29" t="str">
        <f t="shared" si="14"/>
        <v>Jan</v>
      </c>
      <c r="J238" s="29" t="str">
        <f>_xlfn.XLOOKUP(B238,Branch_Summary!A:A,Branch_Summary!B:B,"Not Found",0)</f>
        <v>Aqaba</v>
      </c>
      <c r="K238" s="29" t="str">
        <f>_xlfn.XLOOKUP(B238,Branch_Summary!A:A,Branch_Summary!C:C,"Not Found",0)</f>
        <v>Deposit</v>
      </c>
      <c r="L238" s="29" t="str">
        <f t="shared" si="15"/>
        <v>High Value</v>
      </c>
    </row>
    <row r="239" spans="1:12">
      <c r="A239" s="24">
        <v>10245</v>
      </c>
      <c r="B239" s="24" t="s">
        <v>19</v>
      </c>
      <c r="C239" s="24" t="s">
        <v>20</v>
      </c>
      <c r="D239" s="25" t="s">
        <v>21</v>
      </c>
      <c r="E239" s="26">
        <v>4807</v>
      </c>
      <c r="F239" s="27">
        <v>44323</v>
      </c>
      <c r="G239" s="28">
        <f t="shared" si="12"/>
        <v>7</v>
      </c>
      <c r="H239" s="28">
        <f t="shared" si="13"/>
        <v>2021</v>
      </c>
      <c r="I239" s="29" t="str">
        <f t="shared" si="14"/>
        <v>May</v>
      </c>
      <c r="J239" s="29" t="str">
        <f>_xlfn.XLOOKUP(B239,Branch_Summary!A:A,Branch_Summary!B:B,"Not Found",0)</f>
        <v>Aqaba</v>
      </c>
      <c r="K239" s="29" t="str">
        <f>_xlfn.XLOOKUP(B239,Branch_Summary!A:A,Branch_Summary!C:C,"Not Found",0)</f>
        <v>Deposit</v>
      </c>
      <c r="L239" s="29" t="str">
        <f t="shared" si="15"/>
        <v>High Value</v>
      </c>
    </row>
    <row r="240" spans="1:12">
      <c r="A240" s="24">
        <v>10248</v>
      </c>
      <c r="B240" s="24" t="s">
        <v>19</v>
      </c>
      <c r="C240" s="24" t="s">
        <v>20</v>
      </c>
      <c r="D240" s="25" t="s">
        <v>21</v>
      </c>
      <c r="E240" s="26">
        <v>1382</v>
      </c>
      <c r="F240" s="27">
        <v>45635</v>
      </c>
      <c r="G240" s="28">
        <f t="shared" si="12"/>
        <v>9</v>
      </c>
      <c r="H240" s="28">
        <f t="shared" si="13"/>
        <v>2024</v>
      </c>
      <c r="I240" s="29" t="str">
        <f t="shared" si="14"/>
        <v>Dec</v>
      </c>
      <c r="J240" s="29" t="str">
        <f>_xlfn.XLOOKUP(B240,Branch_Summary!A:A,Branch_Summary!B:B,"Not Found",0)</f>
        <v>Aqaba</v>
      </c>
      <c r="K240" s="29" t="str">
        <f>_xlfn.XLOOKUP(B240,Branch_Summary!A:A,Branch_Summary!C:C,"Not Found",0)</f>
        <v>Deposit</v>
      </c>
      <c r="L240" s="29" t="str">
        <f t="shared" si="15"/>
        <v>Low Value</v>
      </c>
    </row>
    <row r="241" spans="1:4">
      <c r="A241"/>
      <c r="B241"/>
      <c r="D241"/>
    </row>
    <row r="242" spans="1:4">
      <c r="A242"/>
      <c r="B242"/>
      <c r="D242"/>
    </row>
    <row r="243" spans="1:4">
      <c r="A243"/>
      <c r="B243"/>
      <c r="D243"/>
    </row>
    <row r="244" spans="1:4">
      <c r="A244"/>
      <c r="B244"/>
      <c r="D244"/>
    </row>
    <row r="245" spans="1:4">
      <c r="A245"/>
      <c r="B245"/>
      <c r="D245"/>
    </row>
    <row r="246" spans="1:4">
      <c r="A246"/>
      <c r="B246"/>
      <c r="D246"/>
    </row>
    <row r="247" spans="1:4">
      <c r="A247"/>
      <c r="B247"/>
      <c r="D247"/>
    </row>
  </sheetData>
  <autoFilter ref="A1:L240" xr:uid="{00000000-0001-0000-0000-000000000000}"/>
  <sortState xmlns:xlrd2="http://schemas.microsoft.com/office/spreadsheetml/2017/richdata2" ref="A2:K254">
    <sortCondition ref="B1:B254"/>
  </sortState>
  <conditionalFormatting sqref="A248:A1048576 A1:A241">
    <cfRule type="duplicateValues" dxfId="4" priority="9"/>
  </conditionalFormatting>
  <conditionalFormatting sqref="E1:E1048576">
    <cfRule type="cellIs" dxfId="3" priority="3" operator="lessThan">
      <formula>3000</formula>
    </cfRule>
    <cfRule type="cellIs" dxfId="2" priority="4" operator="greaterThan">
      <formula>3000</formula>
    </cfRule>
  </conditionalFormatting>
  <conditionalFormatting sqref="L1:M1048576">
    <cfRule type="cellIs" dxfId="1" priority="1" operator="equal">
      <formula>"Low Value"</formula>
    </cfRule>
    <cfRule type="cellIs" dxfId="0" priority="2" operator="equal">
      <formula>"High Value"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1"/>
  <sheetViews>
    <sheetView workbookViewId="0">
      <selection activeCell="C1" sqref="C1"/>
    </sheetView>
  </sheetViews>
  <sheetFormatPr defaultRowHeight="14.4"/>
  <cols>
    <col min="1" max="1" width="10.77734375" bestFit="1" customWidth="1"/>
    <col min="2" max="2" width="12.109375" bestFit="1" customWidth="1"/>
    <col min="3" max="3" width="17" bestFit="1" customWidth="1"/>
  </cols>
  <sheetData>
    <row r="1" spans="1:3">
      <c r="A1" s="1" t="s">
        <v>1</v>
      </c>
      <c r="B1" s="1" t="s">
        <v>4</v>
      </c>
      <c r="C1" s="1" t="s">
        <v>5</v>
      </c>
    </row>
    <row r="2" spans="1:3">
      <c r="A2" t="s">
        <v>31</v>
      </c>
      <c r="B2" t="s">
        <v>22</v>
      </c>
      <c r="C2" t="s">
        <v>15</v>
      </c>
    </row>
    <row r="3" spans="1:3">
      <c r="A3" t="s">
        <v>31</v>
      </c>
      <c r="B3" t="s">
        <v>10</v>
      </c>
      <c r="C3" t="s">
        <v>15</v>
      </c>
    </row>
    <row r="4" spans="1:3">
      <c r="A4" t="s">
        <v>31</v>
      </c>
      <c r="B4" t="s">
        <v>22</v>
      </c>
      <c r="C4" t="s">
        <v>15</v>
      </c>
    </row>
    <row r="5" spans="1:3">
      <c r="A5" t="s">
        <v>31</v>
      </c>
      <c r="B5" t="s">
        <v>14</v>
      </c>
      <c r="C5" t="s">
        <v>18</v>
      </c>
    </row>
    <row r="6" spans="1:3">
      <c r="A6" t="s">
        <v>31</v>
      </c>
      <c r="B6" t="s">
        <v>23</v>
      </c>
      <c r="C6" t="s">
        <v>15</v>
      </c>
    </row>
    <row r="7" spans="1:3">
      <c r="A7" t="s">
        <v>31</v>
      </c>
      <c r="B7" t="s">
        <v>22</v>
      </c>
      <c r="C7" t="s">
        <v>18</v>
      </c>
    </row>
    <row r="8" spans="1:3">
      <c r="A8" t="s">
        <v>31</v>
      </c>
      <c r="B8" t="s">
        <v>10</v>
      </c>
      <c r="C8" t="s">
        <v>18</v>
      </c>
    </row>
    <row r="9" spans="1:3">
      <c r="A9" t="s">
        <v>31</v>
      </c>
      <c r="B9" t="s">
        <v>14</v>
      </c>
      <c r="C9" t="s">
        <v>15</v>
      </c>
    </row>
    <row r="10" spans="1:3">
      <c r="A10" t="s">
        <v>31</v>
      </c>
      <c r="B10" t="s">
        <v>14</v>
      </c>
      <c r="C10" t="s">
        <v>18</v>
      </c>
    </row>
    <row r="11" spans="1:3">
      <c r="A11" t="s">
        <v>31</v>
      </c>
      <c r="B11" t="s">
        <v>23</v>
      </c>
      <c r="C11" t="s">
        <v>18</v>
      </c>
    </row>
    <row r="12" spans="1:3">
      <c r="A12" t="s">
        <v>31</v>
      </c>
      <c r="B12" t="s">
        <v>14</v>
      </c>
      <c r="C12" t="s">
        <v>15</v>
      </c>
    </row>
    <row r="13" spans="1:3">
      <c r="A13" t="s">
        <v>31</v>
      </c>
      <c r="B13" t="s">
        <v>22</v>
      </c>
      <c r="C13" t="s">
        <v>15</v>
      </c>
    </row>
    <row r="14" spans="1:3">
      <c r="A14" t="s">
        <v>31</v>
      </c>
      <c r="B14" t="s">
        <v>14</v>
      </c>
      <c r="C14" t="s">
        <v>15</v>
      </c>
    </row>
    <row r="15" spans="1:3">
      <c r="A15" t="s">
        <v>31</v>
      </c>
      <c r="B15" t="s">
        <v>23</v>
      </c>
      <c r="C15" t="s">
        <v>15</v>
      </c>
    </row>
    <row r="16" spans="1:3">
      <c r="A16" t="s">
        <v>31</v>
      </c>
      <c r="B16" t="s">
        <v>14</v>
      </c>
      <c r="C16" t="s">
        <v>18</v>
      </c>
    </row>
    <row r="17" spans="1:3">
      <c r="A17" t="s">
        <v>31</v>
      </c>
      <c r="B17" t="s">
        <v>10</v>
      </c>
      <c r="C17" t="s">
        <v>15</v>
      </c>
    </row>
    <row r="18" spans="1:3">
      <c r="A18" t="s">
        <v>31</v>
      </c>
      <c r="B18" t="s">
        <v>14</v>
      </c>
      <c r="C18" t="s">
        <v>18</v>
      </c>
    </row>
    <row r="19" spans="1:3">
      <c r="A19" t="s">
        <v>31</v>
      </c>
      <c r="B19" t="s">
        <v>23</v>
      </c>
      <c r="C19" t="s">
        <v>11</v>
      </c>
    </row>
    <row r="20" spans="1:3">
      <c r="A20" t="s">
        <v>31</v>
      </c>
      <c r="B20" t="s">
        <v>22</v>
      </c>
      <c r="C20" t="s">
        <v>15</v>
      </c>
    </row>
    <row r="21" spans="1:3">
      <c r="A21" t="s">
        <v>31</v>
      </c>
      <c r="B21" t="s">
        <v>23</v>
      </c>
      <c r="C21" t="s">
        <v>18</v>
      </c>
    </row>
    <row r="22" spans="1:3">
      <c r="A22" t="s">
        <v>31</v>
      </c>
      <c r="B22" t="s">
        <v>23</v>
      </c>
      <c r="C22" t="s">
        <v>15</v>
      </c>
    </row>
    <row r="23" spans="1:3">
      <c r="A23" t="s">
        <v>31</v>
      </c>
      <c r="B23" t="s">
        <v>23</v>
      </c>
      <c r="C23" t="s">
        <v>15</v>
      </c>
    </row>
    <row r="24" spans="1:3">
      <c r="A24" t="s">
        <v>31</v>
      </c>
      <c r="B24" t="s">
        <v>14</v>
      </c>
      <c r="C24" t="s">
        <v>15</v>
      </c>
    </row>
    <row r="25" spans="1:3">
      <c r="A25" t="s">
        <v>31</v>
      </c>
      <c r="B25" t="s">
        <v>10</v>
      </c>
      <c r="C25" t="s">
        <v>18</v>
      </c>
    </row>
    <row r="26" spans="1:3">
      <c r="A26" t="s">
        <v>31</v>
      </c>
      <c r="B26" t="s">
        <v>23</v>
      </c>
      <c r="C26" t="s">
        <v>15</v>
      </c>
    </row>
    <row r="27" spans="1:3">
      <c r="A27" t="s">
        <v>31</v>
      </c>
      <c r="B27" t="s">
        <v>14</v>
      </c>
      <c r="C27" t="s">
        <v>15</v>
      </c>
    </row>
    <row r="28" spans="1:3">
      <c r="A28" t="s">
        <v>31</v>
      </c>
      <c r="B28" t="s">
        <v>23</v>
      </c>
      <c r="C28" t="s">
        <v>15</v>
      </c>
    </row>
    <row r="29" spans="1:3">
      <c r="A29" t="s">
        <v>31</v>
      </c>
      <c r="B29" t="s">
        <v>14</v>
      </c>
      <c r="C29" t="s">
        <v>15</v>
      </c>
    </row>
    <row r="30" spans="1:3">
      <c r="A30" t="s">
        <v>31</v>
      </c>
      <c r="B30" t="s">
        <v>22</v>
      </c>
      <c r="C30" t="s">
        <v>18</v>
      </c>
    </row>
    <row r="31" spans="1:3">
      <c r="A31" t="s">
        <v>31</v>
      </c>
      <c r="B31" t="s">
        <v>22</v>
      </c>
      <c r="C31" t="s">
        <v>18</v>
      </c>
    </row>
    <row r="32" spans="1:3">
      <c r="A32" t="s">
        <v>33</v>
      </c>
      <c r="B32" t="s">
        <v>10</v>
      </c>
      <c r="C32" t="s">
        <v>15</v>
      </c>
    </row>
    <row r="33" spans="1:3">
      <c r="A33" t="s">
        <v>33</v>
      </c>
      <c r="B33" t="s">
        <v>23</v>
      </c>
      <c r="C33" t="s">
        <v>18</v>
      </c>
    </row>
    <row r="34" spans="1:3">
      <c r="A34" t="s">
        <v>33</v>
      </c>
      <c r="B34" t="s">
        <v>23</v>
      </c>
      <c r="C34" t="s">
        <v>15</v>
      </c>
    </row>
    <row r="35" spans="1:3">
      <c r="A35" t="s">
        <v>33</v>
      </c>
      <c r="B35" t="s">
        <v>10</v>
      </c>
      <c r="C35" t="s">
        <v>15</v>
      </c>
    </row>
    <row r="36" spans="1:3">
      <c r="A36" t="s">
        <v>33</v>
      </c>
      <c r="B36" t="s">
        <v>23</v>
      </c>
      <c r="C36" t="s">
        <v>18</v>
      </c>
    </row>
    <row r="37" spans="1:3">
      <c r="A37" t="s">
        <v>33</v>
      </c>
      <c r="B37" t="s">
        <v>22</v>
      </c>
      <c r="C37" t="s">
        <v>15</v>
      </c>
    </row>
    <row r="38" spans="1:3">
      <c r="A38" t="s">
        <v>33</v>
      </c>
      <c r="B38" t="s">
        <v>23</v>
      </c>
      <c r="C38" t="s">
        <v>15</v>
      </c>
    </row>
    <row r="39" spans="1:3">
      <c r="A39" t="s">
        <v>33</v>
      </c>
      <c r="B39" t="s">
        <v>23</v>
      </c>
      <c r="C39" t="s">
        <v>18</v>
      </c>
    </row>
    <row r="40" spans="1:3">
      <c r="A40" t="s">
        <v>33</v>
      </c>
      <c r="B40" t="s">
        <v>22</v>
      </c>
      <c r="C40" t="s">
        <v>15</v>
      </c>
    </row>
    <row r="41" spans="1:3">
      <c r="A41" t="s">
        <v>33</v>
      </c>
      <c r="B41" t="s">
        <v>14</v>
      </c>
      <c r="C41" t="s">
        <v>15</v>
      </c>
    </row>
    <row r="42" spans="1:3">
      <c r="A42" t="s">
        <v>33</v>
      </c>
      <c r="B42" t="s">
        <v>10</v>
      </c>
      <c r="C42" t="s">
        <v>15</v>
      </c>
    </row>
    <row r="43" spans="1:3">
      <c r="A43" t="s">
        <v>33</v>
      </c>
      <c r="B43" t="s">
        <v>14</v>
      </c>
      <c r="C43" t="s">
        <v>18</v>
      </c>
    </row>
    <row r="44" spans="1:3">
      <c r="A44" t="s">
        <v>33</v>
      </c>
      <c r="B44" t="s">
        <v>22</v>
      </c>
      <c r="C44" t="s">
        <v>18</v>
      </c>
    </row>
    <row r="45" spans="1:3">
      <c r="A45" t="s">
        <v>33</v>
      </c>
      <c r="B45" t="s">
        <v>10</v>
      </c>
      <c r="C45" t="s">
        <v>18</v>
      </c>
    </row>
    <row r="46" spans="1:3">
      <c r="A46" t="s">
        <v>33</v>
      </c>
      <c r="B46" t="s">
        <v>22</v>
      </c>
      <c r="C46" t="s">
        <v>18</v>
      </c>
    </row>
    <row r="47" spans="1:3">
      <c r="A47" t="s">
        <v>33</v>
      </c>
      <c r="B47" t="s">
        <v>10</v>
      </c>
      <c r="C47" t="s">
        <v>18</v>
      </c>
    </row>
    <row r="48" spans="1:3">
      <c r="A48" t="s">
        <v>29</v>
      </c>
      <c r="B48" t="s">
        <v>10</v>
      </c>
      <c r="C48" t="s">
        <v>15</v>
      </c>
    </row>
    <row r="49" spans="1:3">
      <c r="A49" t="s">
        <v>29</v>
      </c>
      <c r="B49" t="s">
        <v>14</v>
      </c>
      <c r="C49" t="s">
        <v>15</v>
      </c>
    </row>
    <row r="50" spans="1:3">
      <c r="A50" t="s">
        <v>29</v>
      </c>
      <c r="B50" t="s">
        <v>22</v>
      </c>
      <c r="C50" t="s">
        <v>18</v>
      </c>
    </row>
    <row r="51" spans="1:3">
      <c r="A51" t="s">
        <v>29</v>
      </c>
      <c r="B51" t="s">
        <v>23</v>
      </c>
      <c r="C51" t="s">
        <v>18</v>
      </c>
    </row>
    <row r="52" spans="1:3">
      <c r="A52" t="s">
        <v>29</v>
      </c>
      <c r="B52" t="s">
        <v>23</v>
      </c>
      <c r="C52" t="s">
        <v>18</v>
      </c>
    </row>
    <row r="53" spans="1:3">
      <c r="A53" t="s">
        <v>29</v>
      </c>
      <c r="B53" t="s">
        <v>22</v>
      </c>
      <c r="C53" t="s">
        <v>18</v>
      </c>
    </row>
    <row r="54" spans="1:3">
      <c r="A54" t="s">
        <v>29</v>
      </c>
      <c r="B54" t="s">
        <v>14</v>
      </c>
      <c r="C54" t="s">
        <v>15</v>
      </c>
    </row>
    <row r="55" spans="1:3">
      <c r="A55" t="s">
        <v>29</v>
      </c>
      <c r="B55" t="s">
        <v>14</v>
      </c>
      <c r="C55" t="s">
        <v>15</v>
      </c>
    </row>
    <row r="56" spans="1:3">
      <c r="A56" t="s">
        <v>29</v>
      </c>
      <c r="B56" t="s">
        <v>10</v>
      </c>
      <c r="C56" t="s">
        <v>15</v>
      </c>
    </row>
    <row r="57" spans="1:3">
      <c r="A57" t="s">
        <v>29</v>
      </c>
      <c r="B57" t="s">
        <v>23</v>
      </c>
      <c r="C57" t="s">
        <v>15</v>
      </c>
    </row>
    <row r="58" spans="1:3">
      <c r="A58" t="s">
        <v>29</v>
      </c>
      <c r="B58" t="s">
        <v>22</v>
      </c>
      <c r="C58" t="s">
        <v>18</v>
      </c>
    </row>
    <row r="59" spans="1:3">
      <c r="A59" t="s">
        <v>29</v>
      </c>
      <c r="B59" t="s">
        <v>14</v>
      </c>
      <c r="C59" t="s">
        <v>18</v>
      </c>
    </row>
    <row r="60" spans="1:3">
      <c r="A60" t="s">
        <v>29</v>
      </c>
      <c r="B60" t="s">
        <v>10</v>
      </c>
      <c r="C60" t="s">
        <v>15</v>
      </c>
    </row>
    <row r="61" spans="1:3">
      <c r="A61" t="s">
        <v>29</v>
      </c>
      <c r="B61" t="s">
        <v>10</v>
      </c>
      <c r="C61" t="s">
        <v>18</v>
      </c>
    </row>
    <row r="62" spans="1:3">
      <c r="A62" t="s">
        <v>29</v>
      </c>
      <c r="B62" t="s">
        <v>10</v>
      </c>
      <c r="C62" t="s">
        <v>15</v>
      </c>
    </row>
    <row r="63" spans="1:3">
      <c r="A63" t="s">
        <v>29</v>
      </c>
      <c r="B63" t="s">
        <v>14</v>
      </c>
      <c r="C63" t="s">
        <v>18</v>
      </c>
    </row>
    <row r="64" spans="1:3">
      <c r="A64" t="s">
        <v>29</v>
      </c>
      <c r="B64" t="s">
        <v>14</v>
      </c>
      <c r="C64" t="s">
        <v>18</v>
      </c>
    </row>
    <row r="65" spans="1:3">
      <c r="A65" t="s">
        <v>29</v>
      </c>
      <c r="B65" t="s">
        <v>22</v>
      </c>
      <c r="C65" t="s">
        <v>18</v>
      </c>
    </row>
    <row r="66" spans="1:3">
      <c r="A66" t="s">
        <v>29</v>
      </c>
      <c r="B66" t="s">
        <v>23</v>
      </c>
      <c r="C66" t="s">
        <v>18</v>
      </c>
    </row>
    <row r="67" spans="1:3">
      <c r="A67" t="s">
        <v>29</v>
      </c>
      <c r="B67" t="s">
        <v>14</v>
      </c>
      <c r="C67" t="s">
        <v>15</v>
      </c>
    </row>
    <row r="68" spans="1:3">
      <c r="A68" t="s">
        <v>29</v>
      </c>
      <c r="B68" t="s">
        <v>22</v>
      </c>
      <c r="C68" t="s">
        <v>18</v>
      </c>
    </row>
    <row r="69" spans="1:3">
      <c r="A69" t="s">
        <v>29</v>
      </c>
      <c r="B69" t="s">
        <v>23</v>
      </c>
      <c r="C69" t="s">
        <v>15</v>
      </c>
    </row>
    <row r="70" spans="1:3">
      <c r="A70" t="s">
        <v>29</v>
      </c>
      <c r="B70" t="s">
        <v>23</v>
      </c>
      <c r="C70" t="s">
        <v>15</v>
      </c>
    </row>
    <row r="71" spans="1:3">
      <c r="A71" t="s">
        <v>29</v>
      </c>
      <c r="B71" t="s">
        <v>22</v>
      </c>
      <c r="C71" t="s">
        <v>18</v>
      </c>
    </row>
    <row r="72" spans="1:3">
      <c r="A72" t="s">
        <v>29</v>
      </c>
      <c r="B72" t="s">
        <v>14</v>
      </c>
      <c r="C72" t="s">
        <v>15</v>
      </c>
    </row>
    <row r="73" spans="1:3">
      <c r="A73" t="s">
        <v>29</v>
      </c>
      <c r="B73" t="s">
        <v>22</v>
      </c>
      <c r="C73" t="s">
        <v>15</v>
      </c>
    </row>
    <row r="74" spans="1:3">
      <c r="A74" t="s">
        <v>8</v>
      </c>
      <c r="B74" t="s">
        <v>14</v>
      </c>
      <c r="C74" t="s">
        <v>15</v>
      </c>
    </row>
    <row r="75" spans="1:3">
      <c r="A75" t="s">
        <v>8</v>
      </c>
      <c r="B75" t="s">
        <v>23</v>
      </c>
      <c r="C75" t="s">
        <v>15</v>
      </c>
    </row>
    <row r="76" spans="1:3">
      <c r="A76" t="s">
        <v>8</v>
      </c>
      <c r="B76" t="s">
        <v>14</v>
      </c>
      <c r="C76" t="s">
        <v>15</v>
      </c>
    </row>
    <row r="77" spans="1:3">
      <c r="A77" t="s">
        <v>8</v>
      </c>
      <c r="B77" t="s">
        <v>22</v>
      </c>
      <c r="C77" t="s">
        <v>15</v>
      </c>
    </row>
    <row r="78" spans="1:3">
      <c r="A78" t="s">
        <v>8</v>
      </c>
      <c r="B78" t="s">
        <v>22</v>
      </c>
      <c r="C78" t="s">
        <v>15</v>
      </c>
    </row>
    <row r="79" spans="1:3">
      <c r="A79" t="s">
        <v>8</v>
      </c>
      <c r="B79" t="s">
        <v>22</v>
      </c>
      <c r="C79" t="s">
        <v>18</v>
      </c>
    </row>
    <row r="80" spans="1:3">
      <c r="A80" t="s">
        <v>8</v>
      </c>
      <c r="B80" t="s">
        <v>14</v>
      </c>
      <c r="C80" t="s">
        <v>15</v>
      </c>
    </row>
    <row r="81" spans="1:3">
      <c r="A81" t="s">
        <v>8</v>
      </c>
      <c r="B81" t="s">
        <v>10</v>
      </c>
      <c r="C81" t="s">
        <v>18</v>
      </c>
    </row>
    <row r="82" spans="1:3">
      <c r="A82" t="s">
        <v>8</v>
      </c>
      <c r="B82" t="s">
        <v>10</v>
      </c>
      <c r="C82" t="s">
        <v>18</v>
      </c>
    </row>
    <row r="83" spans="1:3">
      <c r="A83" t="s">
        <v>8</v>
      </c>
      <c r="B83" t="s">
        <v>14</v>
      </c>
      <c r="C83" t="s">
        <v>18</v>
      </c>
    </row>
    <row r="84" spans="1:3">
      <c r="A84" t="s">
        <v>8</v>
      </c>
      <c r="B84" t="s">
        <v>22</v>
      </c>
      <c r="C84" t="s">
        <v>18</v>
      </c>
    </row>
    <row r="85" spans="1:3">
      <c r="A85" t="s">
        <v>8</v>
      </c>
      <c r="B85" t="s">
        <v>14</v>
      </c>
      <c r="C85" t="s">
        <v>15</v>
      </c>
    </row>
    <row r="86" spans="1:3">
      <c r="A86" t="s">
        <v>8</v>
      </c>
      <c r="B86" t="s">
        <v>22</v>
      </c>
      <c r="C86" t="s">
        <v>18</v>
      </c>
    </row>
    <row r="87" spans="1:3">
      <c r="A87" t="s">
        <v>8</v>
      </c>
      <c r="B87" t="s">
        <v>22</v>
      </c>
      <c r="C87" t="s">
        <v>15</v>
      </c>
    </row>
    <row r="88" spans="1:3">
      <c r="A88" t="s">
        <v>8</v>
      </c>
      <c r="B88" t="s">
        <v>22</v>
      </c>
      <c r="C88" t="s">
        <v>15</v>
      </c>
    </row>
    <row r="89" spans="1:3">
      <c r="A89" t="s">
        <v>8</v>
      </c>
      <c r="B89" t="s">
        <v>22</v>
      </c>
      <c r="C89" t="s">
        <v>15</v>
      </c>
    </row>
    <row r="90" spans="1:3">
      <c r="A90" t="s">
        <v>8</v>
      </c>
      <c r="B90" t="s">
        <v>22</v>
      </c>
      <c r="C90" t="s">
        <v>15</v>
      </c>
    </row>
    <row r="91" spans="1:3">
      <c r="A91" t="s">
        <v>8</v>
      </c>
      <c r="B91" t="s">
        <v>23</v>
      </c>
      <c r="C91" t="s">
        <v>18</v>
      </c>
    </row>
    <row r="92" spans="1:3">
      <c r="A92" t="s">
        <v>8</v>
      </c>
      <c r="B92" t="s">
        <v>10</v>
      </c>
      <c r="C92" t="s">
        <v>15</v>
      </c>
    </row>
    <row r="93" spans="1:3">
      <c r="A93" t="s">
        <v>8</v>
      </c>
      <c r="B93" t="s">
        <v>14</v>
      </c>
      <c r="C93" t="s">
        <v>15</v>
      </c>
    </row>
    <row r="94" spans="1:3">
      <c r="A94" t="s">
        <v>8</v>
      </c>
      <c r="B94" t="s">
        <v>10</v>
      </c>
      <c r="C94" t="s">
        <v>18</v>
      </c>
    </row>
    <row r="95" spans="1:3">
      <c r="A95" t="s">
        <v>8</v>
      </c>
      <c r="B95" t="s">
        <v>10</v>
      </c>
      <c r="C95" t="s">
        <v>18</v>
      </c>
    </row>
    <row r="96" spans="1:3">
      <c r="A96" t="s">
        <v>8</v>
      </c>
      <c r="B96" t="s">
        <v>10</v>
      </c>
      <c r="C96" t="s">
        <v>15</v>
      </c>
    </row>
    <row r="97" spans="1:3">
      <c r="A97" t="s">
        <v>8</v>
      </c>
      <c r="B97" t="s">
        <v>10</v>
      </c>
      <c r="C97" t="s">
        <v>18</v>
      </c>
    </row>
    <row r="98" spans="1:3">
      <c r="A98" t="s">
        <v>8</v>
      </c>
      <c r="B98" t="s">
        <v>14</v>
      </c>
      <c r="C98" t="s">
        <v>18</v>
      </c>
    </row>
    <row r="99" spans="1:3">
      <c r="A99" t="s">
        <v>8</v>
      </c>
      <c r="B99" t="s">
        <v>10</v>
      </c>
      <c r="C99" t="s">
        <v>18</v>
      </c>
    </row>
    <row r="100" spans="1:3">
      <c r="A100" t="s">
        <v>8</v>
      </c>
      <c r="B100" t="s">
        <v>10</v>
      </c>
      <c r="C100" t="s">
        <v>18</v>
      </c>
    </row>
    <row r="101" spans="1:3">
      <c r="A101" t="s">
        <v>8</v>
      </c>
      <c r="B101" t="s">
        <v>14</v>
      </c>
      <c r="C101" t="s">
        <v>15</v>
      </c>
    </row>
    <row r="102" spans="1:3">
      <c r="A102" t="s">
        <v>8</v>
      </c>
      <c r="B102" t="s">
        <v>10</v>
      </c>
      <c r="C102" t="s">
        <v>15</v>
      </c>
    </row>
    <row r="103" spans="1:3">
      <c r="A103" t="s">
        <v>8</v>
      </c>
      <c r="B103" t="s">
        <v>10</v>
      </c>
      <c r="C103" t="s">
        <v>15</v>
      </c>
    </row>
    <row r="104" spans="1:3">
      <c r="A104" t="s">
        <v>8</v>
      </c>
      <c r="B104" t="s">
        <v>23</v>
      </c>
      <c r="C104" t="s">
        <v>18</v>
      </c>
    </row>
    <row r="105" spans="1:3">
      <c r="A105" t="s">
        <v>12</v>
      </c>
      <c r="B105" t="s">
        <v>10</v>
      </c>
      <c r="C105" t="s">
        <v>18</v>
      </c>
    </row>
    <row r="106" spans="1:3">
      <c r="A106" t="s">
        <v>12</v>
      </c>
      <c r="B106" t="s">
        <v>23</v>
      </c>
      <c r="C106" t="s">
        <v>15</v>
      </c>
    </row>
    <row r="107" spans="1:3">
      <c r="A107" t="s">
        <v>12</v>
      </c>
      <c r="B107" t="s">
        <v>23</v>
      </c>
      <c r="C107" t="s">
        <v>15</v>
      </c>
    </row>
    <row r="108" spans="1:3">
      <c r="A108" t="s">
        <v>12</v>
      </c>
      <c r="B108" t="s">
        <v>14</v>
      </c>
      <c r="C108" t="s">
        <v>15</v>
      </c>
    </row>
    <row r="109" spans="1:3">
      <c r="A109" t="s">
        <v>12</v>
      </c>
      <c r="B109" t="s">
        <v>23</v>
      </c>
      <c r="C109" t="s">
        <v>15</v>
      </c>
    </row>
    <row r="110" spans="1:3">
      <c r="A110" t="s">
        <v>12</v>
      </c>
      <c r="B110" t="s">
        <v>22</v>
      </c>
      <c r="C110" t="s">
        <v>18</v>
      </c>
    </row>
    <row r="111" spans="1:3">
      <c r="A111" t="s">
        <v>12</v>
      </c>
      <c r="B111" t="s">
        <v>10</v>
      </c>
      <c r="C111" t="s">
        <v>15</v>
      </c>
    </row>
    <row r="112" spans="1:3">
      <c r="A112" t="s">
        <v>12</v>
      </c>
      <c r="B112" t="s">
        <v>14</v>
      </c>
      <c r="C112" t="s">
        <v>15</v>
      </c>
    </row>
    <row r="113" spans="1:3">
      <c r="A113" t="s">
        <v>12</v>
      </c>
      <c r="B113" t="s">
        <v>10</v>
      </c>
      <c r="C113" t="s">
        <v>15</v>
      </c>
    </row>
    <row r="114" spans="1:3">
      <c r="A114" t="s">
        <v>12</v>
      </c>
      <c r="B114" t="s">
        <v>10</v>
      </c>
      <c r="C114" t="s">
        <v>15</v>
      </c>
    </row>
    <row r="115" spans="1:3">
      <c r="A115" t="s">
        <v>12</v>
      </c>
      <c r="B115" t="s">
        <v>23</v>
      </c>
      <c r="C115" t="s">
        <v>18</v>
      </c>
    </row>
    <row r="116" spans="1:3">
      <c r="A116" t="s">
        <v>12</v>
      </c>
      <c r="B116" t="s">
        <v>14</v>
      </c>
      <c r="C116" t="s">
        <v>15</v>
      </c>
    </row>
    <row r="117" spans="1:3">
      <c r="A117" t="s">
        <v>12</v>
      </c>
      <c r="B117" t="s">
        <v>10</v>
      </c>
      <c r="C117" t="s">
        <v>18</v>
      </c>
    </row>
    <row r="118" spans="1:3">
      <c r="A118" t="s">
        <v>12</v>
      </c>
      <c r="B118" t="s">
        <v>23</v>
      </c>
      <c r="C118" t="s">
        <v>18</v>
      </c>
    </row>
    <row r="119" spans="1:3">
      <c r="A119" t="s">
        <v>12</v>
      </c>
      <c r="B119" t="s">
        <v>14</v>
      </c>
      <c r="C119" t="s">
        <v>18</v>
      </c>
    </row>
    <row r="120" spans="1:3">
      <c r="A120" t="s">
        <v>12</v>
      </c>
      <c r="B120" t="s">
        <v>23</v>
      </c>
      <c r="C120" t="s">
        <v>18</v>
      </c>
    </row>
    <row r="121" spans="1:3">
      <c r="A121" t="s">
        <v>12</v>
      </c>
      <c r="B121" t="s">
        <v>10</v>
      </c>
      <c r="C121" t="s">
        <v>15</v>
      </c>
    </row>
    <row r="122" spans="1:3">
      <c r="A122" t="s">
        <v>12</v>
      </c>
      <c r="B122" t="s">
        <v>14</v>
      </c>
      <c r="C122" t="s">
        <v>15</v>
      </c>
    </row>
    <row r="123" spans="1:3">
      <c r="A123" t="s">
        <v>12</v>
      </c>
      <c r="B123" t="s">
        <v>10</v>
      </c>
      <c r="C123" t="s">
        <v>18</v>
      </c>
    </row>
    <row r="124" spans="1:3">
      <c r="A124" t="s">
        <v>12</v>
      </c>
      <c r="B124" t="s">
        <v>10</v>
      </c>
      <c r="C124" t="s">
        <v>18</v>
      </c>
    </row>
    <row r="125" spans="1:3">
      <c r="A125" t="s">
        <v>12</v>
      </c>
      <c r="B125" t="s">
        <v>23</v>
      </c>
      <c r="C125" t="s">
        <v>15</v>
      </c>
    </row>
    <row r="126" spans="1:3">
      <c r="A126" t="s">
        <v>12</v>
      </c>
      <c r="B126" t="s">
        <v>22</v>
      </c>
      <c r="C126" t="s">
        <v>18</v>
      </c>
    </row>
    <row r="127" spans="1:3">
      <c r="A127" t="s">
        <v>12</v>
      </c>
      <c r="B127" t="s">
        <v>22</v>
      </c>
      <c r="C127" t="s">
        <v>15</v>
      </c>
    </row>
    <row r="128" spans="1:3">
      <c r="A128" t="s">
        <v>35</v>
      </c>
      <c r="B128" t="s">
        <v>10</v>
      </c>
      <c r="C128" t="s">
        <v>15</v>
      </c>
    </row>
    <row r="129" spans="1:3">
      <c r="A129" t="s">
        <v>35</v>
      </c>
      <c r="B129" t="s">
        <v>10</v>
      </c>
      <c r="C129" t="s">
        <v>15</v>
      </c>
    </row>
    <row r="130" spans="1:3">
      <c r="A130" t="s">
        <v>35</v>
      </c>
      <c r="B130" t="s">
        <v>10</v>
      </c>
      <c r="C130" t="s">
        <v>15</v>
      </c>
    </row>
    <row r="131" spans="1:3">
      <c r="A131" t="s">
        <v>35</v>
      </c>
      <c r="B131" t="s">
        <v>23</v>
      </c>
      <c r="C131" t="s">
        <v>15</v>
      </c>
    </row>
    <row r="132" spans="1:3">
      <c r="A132" t="s">
        <v>35</v>
      </c>
      <c r="B132" t="s">
        <v>22</v>
      </c>
      <c r="C132" t="s">
        <v>18</v>
      </c>
    </row>
    <row r="133" spans="1:3">
      <c r="A133" t="s">
        <v>35</v>
      </c>
      <c r="B133" t="s">
        <v>22</v>
      </c>
      <c r="C133" t="s">
        <v>15</v>
      </c>
    </row>
    <row r="134" spans="1:3">
      <c r="A134" t="s">
        <v>35</v>
      </c>
      <c r="B134" t="s">
        <v>22</v>
      </c>
      <c r="C134" t="s">
        <v>15</v>
      </c>
    </row>
    <row r="135" spans="1:3">
      <c r="A135" t="s">
        <v>35</v>
      </c>
      <c r="B135" t="s">
        <v>10</v>
      </c>
      <c r="C135" t="s">
        <v>15</v>
      </c>
    </row>
    <row r="136" spans="1:3">
      <c r="A136" t="s">
        <v>35</v>
      </c>
      <c r="B136" t="s">
        <v>22</v>
      </c>
      <c r="C136" t="s">
        <v>15</v>
      </c>
    </row>
    <row r="137" spans="1:3">
      <c r="A137" t="s">
        <v>35</v>
      </c>
      <c r="B137" t="s">
        <v>14</v>
      </c>
      <c r="C137" t="s">
        <v>15</v>
      </c>
    </row>
    <row r="138" spans="1:3">
      <c r="A138" t="s">
        <v>35</v>
      </c>
      <c r="B138" t="s">
        <v>23</v>
      </c>
      <c r="C138" t="s">
        <v>15</v>
      </c>
    </row>
    <row r="139" spans="1:3">
      <c r="A139" t="s">
        <v>35</v>
      </c>
      <c r="B139" t="s">
        <v>14</v>
      </c>
      <c r="C139" t="s">
        <v>15</v>
      </c>
    </row>
    <row r="140" spans="1:3">
      <c r="A140" t="s">
        <v>35</v>
      </c>
      <c r="B140" t="s">
        <v>14</v>
      </c>
      <c r="C140" t="s">
        <v>18</v>
      </c>
    </row>
    <row r="141" spans="1:3">
      <c r="A141" t="s">
        <v>35</v>
      </c>
      <c r="B141" t="s">
        <v>23</v>
      </c>
      <c r="C141" t="s">
        <v>15</v>
      </c>
    </row>
    <row r="142" spans="1:3">
      <c r="A142" t="s">
        <v>35</v>
      </c>
      <c r="B142" t="s">
        <v>22</v>
      </c>
      <c r="C142" t="s">
        <v>18</v>
      </c>
    </row>
    <row r="143" spans="1:3">
      <c r="A143" t="s">
        <v>27</v>
      </c>
      <c r="B143" t="s">
        <v>10</v>
      </c>
      <c r="C143" t="s">
        <v>11</v>
      </c>
    </row>
    <row r="144" spans="1:3">
      <c r="A144" t="s">
        <v>27</v>
      </c>
      <c r="B144" t="s">
        <v>10</v>
      </c>
      <c r="C144" t="s">
        <v>18</v>
      </c>
    </row>
    <row r="145" spans="1:3">
      <c r="A145" t="s">
        <v>27</v>
      </c>
      <c r="B145" t="s">
        <v>10</v>
      </c>
      <c r="C145" t="s">
        <v>15</v>
      </c>
    </row>
    <row r="146" spans="1:3">
      <c r="A146" t="s">
        <v>27</v>
      </c>
      <c r="B146" t="s">
        <v>23</v>
      </c>
      <c r="C146" t="s">
        <v>18</v>
      </c>
    </row>
    <row r="147" spans="1:3">
      <c r="A147" t="s">
        <v>27</v>
      </c>
      <c r="B147" t="s">
        <v>14</v>
      </c>
      <c r="C147" t="s">
        <v>18</v>
      </c>
    </row>
    <row r="148" spans="1:3">
      <c r="A148" t="s">
        <v>27</v>
      </c>
      <c r="B148" t="s">
        <v>23</v>
      </c>
      <c r="C148" t="s">
        <v>15</v>
      </c>
    </row>
    <row r="149" spans="1:3">
      <c r="A149" t="s">
        <v>27</v>
      </c>
      <c r="B149" t="s">
        <v>23</v>
      </c>
      <c r="C149" t="s">
        <v>18</v>
      </c>
    </row>
    <row r="150" spans="1:3">
      <c r="A150" t="s">
        <v>27</v>
      </c>
      <c r="B150" t="s">
        <v>14</v>
      </c>
      <c r="C150" t="s">
        <v>18</v>
      </c>
    </row>
    <row r="151" spans="1:3">
      <c r="A151" t="s">
        <v>27</v>
      </c>
      <c r="B151" t="s">
        <v>14</v>
      </c>
      <c r="C151" t="s">
        <v>15</v>
      </c>
    </row>
    <row r="152" spans="1:3">
      <c r="A152" t="s">
        <v>27</v>
      </c>
      <c r="B152" t="s">
        <v>10</v>
      </c>
      <c r="C152" t="s">
        <v>15</v>
      </c>
    </row>
    <row r="153" spans="1:3">
      <c r="A153" t="s">
        <v>27</v>
      </c>
      <c r="B153" t="s">
        <v>22</v>
      </c>
      <c r="C153" t="s">
        <v>18</v>
      </c>
    </row>
    <row r="154" spans="1:3">
      <c r="A154" t="s">
        <v>27</v>
      </c>
      <c r="B154" t="s">
        <v>23</v>
      </c>
      <c r="C154" t="s">
        <v>18</v>
      </c>
    </row>
    <row r="155" spans="1:3">
      <c r="A155" t="s">
        <v>27</v>
      </c>
      <c r="B155" t="s">
        <v>14</v>
      </c>
      <c r="C155" t="s">
        <v>15</v>
      </c>
    </row>
    <row r="156" spans="1:3">
      <c r="A156" t="s">
        <v>27</v>
      </c>
      <c r="B156" t="s">
        <v>22</v>
      </c>
      <c r="C156" t="s">
        <v>15</v>
      </c>
    </row>
    <row r="157" spans="1:3">
      <c r="A157" t="s">
        <v>27</v>
      </c>
      <c r="B157" t="s">
        <v>23</v>
      </c>
      <c r="C157" t="s">
        <v>15</v>
      </c>
    </row>
    <row r="158" spans="1:3">
      <c r="A158" t="s">
        <v>27</v>
      </c>
      <c r="B158" t="s">
        <v>23</v>
      </c>
      <c r="C158" t="s">
        <v>15</v>
      </c>
    </row>
    <row r="159" spans="1:3">
      <c r="A159" t="s">
        <v>27</v>
      </c>
      <c r="B159" t="s">
        <v>22</v>
      </c>
      <c r="C159" t="s">
        <v>15</v>
      </c>
    </row>
    <row r="160" spans="1:3">
      <c r="A160" t="s">
        <v>27</v>
      </c>
      <c r="B160" t="s">
        <v>10</v>
      </c>
      <c r="C160" t="s">
        <v>18</v>
      </c>
    </row>
    <row r="161" spans="1:3">
      <c r="A161" t="s">
        <v>27</v>
      </c>
      <c r="B161" t="s">
        <v>22</v>
      </c>
      <c r="C161" t="s">
        <v>15</v>
      </c>
    </row>
    <row r="162" spans="1:3">
      <c r="A162" t="s">
        <v>27</v>
      </c>
      <c r="B162" t="s">
        <v>22</v>
      </c>
      <c r="C162" t="s">
        <v>18</v>
      </c>
    </row>
    <row r="163" spans="1:3">
      <c r="A163" t="s">
        <v>27</v>
      </c>
      <c r="B163" t="s">
        <v>23</v>
      </c>
      <c r="C163" t="s">
        <v>15</v>
      </c>
    </row>
    <row r="164" spans="1:3">
      <c r="A164" t="s">
        <v>27</v>
      </c>
      <c r="B164" t="s">
        <v>10</v>
      </c>
      <c r="C164" t="s">
        <v>15</v>
      </c>
    </row>
    <row r="165" spans="1:3">
      <c r="A165" t="s">
        <v>27</v>
      </c>
      <c r="B165" t="s">
        <v>22</v>
      </c>
      <c r="C165" t="s">
        <v>18</v>
      </c>
    </row>
    <row r="166" spans="1:3">
      <c r="A166" t="s">
        <v>27</v>
      </c>
      <c r="B166" t="s">
        <v>14</v>
      </c>
      <c r="C166" t="s">
        <v>15</v>
      </c>
    </row>
    <row r="167" spans="1:3">
      <c r="A167" t="s">
        <v>27</v>
      </c>
      <c r="B167" t="s">
        <v>22</v>
      </c>
      <c r="C167" t="s">
        <v>11</v>
      </c>
    </row>
    <row r="168" spans="1:3">
      <c r="A168" t="s">
        <v>27</v>
      </c>
      <c r="B168" t="s">
        <v>22</v>
      </c>
      <c r="C168" t="s">
        <v>18</v>
      </c>
    </row>
    <row r="169" spans="1:3">
      <c r="A169" t="s">
        <v>27</v>
      </c>
      <c r="B169" t="s">
        <v>23</v>
      </c>
      <c r="C169" t="s">
        <v>15</v>
      </c>
    </row>
    <row r="170" spans="1:3">
      <c r="A170" t="s">
        <v>27</v>
      </c>
      <c r="B170" t="s">
        <v>10</v>
      </c>
      <c r="C170" t="s">
        <v>18</v>
      </c>
    </row>
    <row r="171" spans="1:3">
      <c r="A171" t="s">
        <v>27</v>
      </c>
      <c r="B171" t="s">
        <v>10</v>
      </c>
      <c r="C171" t="s">
        <v>18</v>
      </c>
    </row>
    <row r="172" spans="1:3">
      <c r="A172" t="s">
        <v>27</v>
      </c>
      <c r="B172" t="s">
        <v>22</v>
      </c>
      <c r="C172" t="s">
        <v>15</v>
      </c>
    </row>
    <row r="173" spans="1:3">
      <c r="A173" t="s">
        <v>16</v>
      </c>
      <c r="B173" t="s">
        <v>22</v>
      </c>
      <c r="C173" t="s">
        <v>15</v>
      </c>
    </row>
    <row r="174" spans="1:3">
      <c r="A174" t="s">
        <v>16</v>
      </c>
      <c r="B174" t="s">
        <v>10</v>
      </c>
      <c r="C174" t="s">
        <v>15</v>
      </c>
    </row>
    <row r="175" spans="1:3">
      <c r="A175" t="s">
        <v>16</v>
      </c>
      <c r="B175" t="s">
        <v>14</v>
      </c>
      <c r="C175" t="s">
        <v>18</v>
      </c>
    </row>
    <row r="176" spans="1:3">
      <c r="A176" t="s">
        <v>16</v>
      </c>
      <c r="B176" t="s">
        <v>23</v>
      </c>
      <c r="C176" t="s">
        <v>18</v>
      </c>
    </row>
    <row r="177" spans="1:3">
      <c r="A177" t="s">
        <v>16</v>
      </c>
      <c r="B177" t="s">
        <v>14</v>
      </c>
      <c r="C177" t="s">
        <v>15</v>
      </c>
    </row>
    <row r="178" spans="1:3">
      <c r="A178" t="s">
        <v>16</v>
      </c>
      <c r="B178" t="s">
        <v>22</v>
      </c>
      <c r="C178" t="s">
        <v>15</v>
      </c>
    </row>
    <row r="179" spans="1:3">
      <c r="A179" t="s">
        <v>16</v>
      </c>
      <c r="B179" t="s">
        <v>23</v>
      </c>
      <c r="C179" t="s">
        <v>11</v>
      </c>
    </row>
    <row r="180" spans="1:3">
      <c r="A180" t="s">
        <v>16</v>
      </c>
      <c r="B180" t="s">
        <v>10</v>
      </c>
      <c r="C180" t="s">
        <v>18</v>
      </c>
    </row>
    <row r="181" spans="1:3">
      <c r="A181" t="s">
        <v>16</v>
      </c>
      <c r="B181" t="s">
        <v>23</v>
      </c>
      <c r="C181" t="s">
        <v>15</v>
      </c>
    </row>
    <row r="182" spans="1:3">
      <c r="A182" t="s">
        <v>16</v>
      </c>
      <c r="B182" t="s">
        <v>10</v>
      </c>
      <c r="C182" t="s">
        <v>18</v>
      </c>
    </row>
    <row r="183" spans="1:3">
      <c r="A183" t="s">
        <v>16</v>
      </c>
      <c r="B183" t="s">
        <v>23</v>
      </c>
      <c r="C183" t="s">
        <v>11</v>
      </c>
    </row>
    <row r="184" spans="1:3">
      <c r="A184" t="s">
        <v>16</v>
      </c>
      <c r="B184" t="s">
        <v>23</v>
      </c>
      <c r="C184" t="s">
        <v>15</v>
      </c>
    </row>
    <row r="185" spans="1:3">
      <c r="A185" t="s">
        <v>16</v>
      </c>
      <c r="B185" t="s">
        <v>10</v>
      </c>
      <c r="C185" t="s">
        <v>18</v>
      </c>
    </row>
    <row r="186" spans="1:3">
      <c r="A186" t="s">
        <v>16</v>
      </c>
      <c r="B186" t="s">
        <v>10</v>
      </c>
      <c r="C186" t="s">
        <v>15</v>
      </c>
    </row>
    <row r="187" spans="1:3">
      <c r="A187" t="s">
        <v>16</v>
      </c>
      <c r="B187" t="s">
        <v>10</v>
      </c>
      <c r="C187" t="s">
        <v>18</v>
      </c>
    </row>
    <row r="188" spans="1:3">
      <c r="A188" t="s">
        <v>16</v>
      </c>
      <c r="B188" t="s">
        <v>14</v>
      </c>
      <c r="C188" t="s">
        <v>15</v>
      </c>
    </row>
    <row r="189" spans="1:3">
      <c r="A189" t="s">
        <v>16</v>
      </c>
      <c r="B189" t="s">
        <v>22</v>
      </c>
      <c r="C189" t="s">
        <v>15</v>
      </c>
    </row>
    <row r="190" spans="1:3">
      <c r="A190" t="s">
        <v>16</v>
      </c>
      <c r="B190" t="s">
        <v>23</v>
      </c>
      <c r="C190" t="s">
        <v>18</v>
      </c>
    </row>
    <row r="191" spans="1:3">
      <c r="A191" t="s">
        <v>16</v>
      </c>
      <c r="B191" t="s">
        <v>22</v>
      </c>
      <c r="C191" t="s">
        <v>18</v>
      </c>
    </row>
    <row r="192" spans="1:3">
      <c r="A192" t="s">
        <v>16</v>
      </c>
      <c r="B192" t="s">
        <v>22</v>
      </c>
      <c r="C192" t="s">
        <v>18</v>
      </c>
    </row>
    <row r="193" spans="1:3">
      <c r="A193" t="s">
        <v>16</v>
      </c>
      <c r="B193" t="s">
        <v>22</v>
      </c>
      <c r="C193" t="s">
        <v>15</v>
      </c>
    </row>
    <row r="194" spans="1:3">
      <c r="A194" t="s">
        <v>16</v>
      </c>
      <c r="B194" t="s">
        <v>14</v>
      </c>
      <c r="C194" t="s">
        <v>18</v>
      </c>
    </row>
    <row r="195" spans="1:3">
      <c r="A195" t="s">
        <v>16</v>
      </c>
      <c r="B195" t="s">
        <v>14</v>
      </c>
      <c r="C195" t="s">
        <v>15</v>
      </c>
    </row>
    <row r="196" spans="1:3">
      <c r="A196" t="s">
        <v>16</v>
      </c>
      <c r="B196" t="s">
        <v>22</v>
      </c>
      <c r="C196" t="s">
        <v>15</v>
      </c>
    </row>
    <row r="197" spans="1:3">
      <c r="A197" t="s">
        <v>24</v>
      </c>
      <c r="B197" t="s">
        <v>14</v>
      </c>
      <c r="C197" t="s">
        <v>15</v>
      </c>
    </row>
    <row r="198" spans="1:3">
      <c r="A198" t="s">
        <v>24</v>
      </c>
      <c r="B198" t="s">
        <v>10</v>
      </c>
      <c r="C198" t="s">
        <v>18</v>
      </c>
    </row>
    <row r="199" spans="1:3">
      <c r="A199" t="s">
        <v>24</v>
      </c>
      <c r="B199" t="s">
        <v>10</v>
      </c>
      <c r="C199" t="s">
        <v>15</v>
      </c>
    </row>
    <row r="200" spans="1:3">
      <c r="A200" t="s">
        <v>24</v>
      </c>
      <c r="B200" t="s">
        <v>10</v>
      </c>
      <c r="C200" t="s">
        <v>15</v>
      </c>
    </row>
    <row r="201" spans="1:3">
      <c r="A201" t="s">
        <v>24</v>
      </c>
      <c r="B201" t="s">
        <v>23</v>
      </c>
      <c r="C201" t="s">
        <v>15</v>
      </c>
    </row>
    <row r="202" spans="1:3">
      <c r="A202" t="s">
        <v>24</v>
      </c>
      <c r="B202" t="s">
        <v>22</v>
      </c>
      <c r="C202" t="s">
        <v>15</v>
      </c>
    </row>
    <row r="203" spans="1:3">
      <c r="A203" t="s">
        <v>24</v>
      </c>
      <c r="B203" t="s">
        <v>14</v>
      </c>
      <c r="C203" t="s">
        <v>15</v>
      </c>
    </row>
    <row r="204" spans="1:3">
      <c r="A204" t="s">
        <v>24</v>
      </c>
      <c r="B204" t="s">
        <v>22</v>
      </c>
      <c r="C204" t="s">
        <v>11</v>
      </c>
    </row>
    <row r="205" spans="1:3">
      <c r="A205" t="s">
        <v>24</v>
      </c>
      <c r="B205" t="s">
        <v>14</v>
      </c>
      <c r="C205" t="s">
        <v>15</v>
      </c>
    </row>
    <row r="206" spans="1:3">
      <c r="A206" t="s">
        <v>24</v>
      </c>
      <c r="B206" t="s">
        <v>14</v>
      </c>
      <c r="C206" t="s">
        <v>18</v>
      </c>
    </row>
    <row r="207" spans="1:3">
      <c r="A207" t="s">
        <v>24</v>
      </c>
      <c r="B207" t="s">
        <v>22</v>
      </c>
      <c r="C207" t="s">
        <v>15</v>
      </c>
    </row>
    <row r="208" spans="1:3">
      <c r="A208" t="s">
        <v>24</v>
      </c>
      <c r="B208" t="s">
        <v>22</v>
      </c>
      <c r="C208" t="s">
        <v>18</v>
      </c>
    </row>
    <row r="209" spans="1:3">
      <c r="A209" t="s">
        <v>24</v>
      </c>
      <c r="B209" t="s">
        <v>22</v>
      </c>
      <c r="C209" t="s">
        <v>15</v>
      </c>
    </row>
    <row r="210" spans="1:3">
      <c r="A210" t="s">
        <v>24</v>
      </c>
      <c r="B210" t="s">
        <v>23</v>
      </c>
      <c r="C210" t="s">
        <v>15</v>
      </c>
    </row>
    <row r="211" spans="1:3">
      <c r="A211" t="s">
        <v>24</v>
      </c>
      <c r="B211" t="s">
        <v>14</v>
      </c>
      <c r="C211" t="s">
        <v>15</v>
      </c>
    </row>
    <row r="212" spans="1:3">
      <c r="A212" t="s">
        <v>24</v>
      </c>
      <c r="B212" t="s">
        <v>10</v>
      </c>
      <c r="C212" t="s">
        <v>15</v>
      </c>
    </row>
    <row r="213" spans="1:3">
      <c r="A213" t="s">
        <v>24</v>
      </c>
      <c r="B213" t="s">
        <v>22</v>
      </c>
      <c r="C213" t="s">
        <v>18</v>
      </c>
    </row>
    <row r="214" spans="1:3">
      <c r="A214" t="s">
        <v>24</v>
      </c>
      <c r="B214" t="s">
        <v>22</v>
      </c>
      <c r="C214" t="s">
        <v>15</v>
      </c>
    </row>
    <row r="215" spans="1:3">
      <c r="A215" t="s">
        <v>24</v>
      </c>
      <c r="B215" t="s">
        <v>14</v>
      </c>
      <c r="C215" t="s">
        <v>18</v>
      </c>
    </row>
    <row r="216" spans="1:3">
      <c r="A216" t="s">
        <v>24</v>
      </c>
      <c r="B216" t="s">
        <v>23</v>
      </c>
      <c r="C216" t="s">
        <v>15</v>
      </c>
    </row>
    <row r="217" spans="1:3">
      <c r="A217" t="s">
        <v>24</v>
      </c>
      <c r="B217" t="s">
        <v>14</v>
      </c>
      <c r="C217" t="s">
        <v>18</v>
      </c>
    </row>
    <row r="218" spans="1:3">
      <c r="A218" t="s">
        <v>24</v>
      </c>
      <c r="B218" t="s">
        <v>10</v>
      </c>
      <c r="C218" t="s">
        <v>18</v>
      </c>
    </row>
    <row r="219" spans="1:3">
      <c r="A219" t="s">
        <v>24</v>
      </c>
      <c r="B219" t="s">
        <v>14</v>
      </c>
      <c r="C219" t="s">
        <v>15</v>
      </c>
    </row>
    <row r="220" spans="1:3">
      <c r="A220" t="s">
        <v>24</v>
      </c>
      <c r="B220" t="s">
        <v>22</v>
      </c>
      <c r="C220" t="s">
        <v>15</v>
      </c>
    </row>
    <row r="221" spans="1:3">
      <c r="A221" t="s">
        <v>24</v>
      </c>
      <c r="B221" t="s">
        <v>14</v>
      </c>
      <c r="C221" t="s">
        <v>15</v>
      </c>
    </row>
    <row r="222" spans="1:3">
      <c r="A222" t="s">
        <v>19</v>
      </c>
      <c r="B222" t="s">
        <v>23</v>
      </c>
      <c r="C222" t="s">
        <v>18</v>
      </c>
    </row>
    <row r="223" spans="1:3">
      <c r="A223" t="s">
        <v>19</v>
      </c>
      <c r="B223" t="s">
        <v>10</v>
      </c>
      <c r="C223" t="s">
        <v>18</v>
      </c>
    </row>
    <row r="224" spans="1:3">
      <c r="A224" t="s">
        <v>19</v>
      </c>
      <c r="B224" t="s">
        <v>22</v>
      </c>
      <c r="C224" t="s">
        <v>15</v>
      </c>
    </row>
    <row r="225" spans="1:3">
      <c r="A225" t="s">
        <v>19</v>
      </c>
      <c r="B225" t="s">
        <v>14</v>
      </c>
      <c r="C225" t="s">
        <v>18</v>
      </c>
    </row>
    <row r="226" spans="1:3">
      <c r="A226" t="s">
        <v>19</v>
      </c>
      <c r="B226" t="s">
        <v>10</v>
      </c>
      <c r="C226" t="s">
        <v>15</v>
      </c>
    </row>
    <row r="227" spans="1:3">
      <c r="A227" t="s">
        <v>19</v>
      </c>
      <c r="B227" t="s">
        <v>23</v>
      </c>
      <c r="C227" t="s">
        <v>15</v>
      </c>
    </row>
    <row r="228" spans="1:3">
      <c r="A228" t="s">
        <v>19</v>
      </c>
      <c r="B228" t="s">
        <v>23</v>
      </c>
      <c r="C228" t="s">
        <v>18</v>
      </c>
    </row>
    <row r="229" spans="1:3">
      <c r="A229" t="s">
        <v>19</v>
      </c>
      <c r="B229" t="s">
        <v>14</v>
      </c>
      <c r="C229" t="s">
        <v>15</v>
      </c>
    </row>
    <row r="230" spans="1:3">
      <c r="A230" t="s">
        <v>19</v>
      </c>
      <c r="B230" t="s">
        <v>22</v>
      </c>
      <c r="C230" t="s">
        <v>15</v>
      </c>
    </row>
    <row r="231" spans="1:3">
      <c r="A231" t="s">
        <v>19</v>
      </c>
      <c r="B231" t="s">
        <v>22</v>
      </c>
      <c r="C231" t="s">
        <v>15</v>
      </c>
    </row>
    <row r="232" spans="1:3">
      <c r="A232" t="s">
        <v>19</v>
      </c>
      <c r="B232" t="s">
        <v>22</v>
      </c>
      <c r="C232" t="s">
        <v>15</v>
      </c>
    </row>
    <row r="233" spans="1:3">
      <c r="A233" t="s">
        <v>19</v>
      </c>
      <c r="B233" t="s">
        <v>14</v>
      </c>
      <c r="C233" t="s">
        <v>18</v>
      </c>
    </row>
    <row r="234" spans="1:3">
      <c r="A234" t="s">
        <v>19</v>
      </c>
      <c r="B234" t="s">
        <v>10</v>
      </c>
      <c r="C234" t="s">
        <v>15</v>
      </c>
    </row>
    <row r="235" spans="1:3">
      <c r="A235" t="s">
        <v>19</v>
      </c>
      <c r="B235" t="s">
        <v>23</v>
      </c>
      <c r="C235" t="s">
        <v>18</v>
      </c>
    </row>
    <row r="236" spans="1:3">
      <c r="A236" t="s">
        <v>19</v>
      </c>
      <c r="B236" t="s">
        <v>22</v>
      </c>
      <c r="C236" t="s">
        <v>18</v>
      </c>
    </row>
    <row r="237" spans="1:3">
      <c r="A237" t="s">
        <v>19</v>
      </c>
      <c r="B237" t="s">
        <v>10</v>
      </c>
      <c r="C237" t="s">
        <v>15</v>
      </c>
    </row>
    <row r="238" spans="1:3">
      <c r="A238" t="s">
        <v>19</v>
      </c>
      <c r="B238" t="s">
        <v>14</v>
      </c>
      <c r="C238" t="s">
        <v>18</v>
      </c>
    </row>
    <row r="239" spans="1:3">
      <c r="A239" t="s">
        <v>19</v>
      </c>
      <c r="B239" t="s">
        <v>10</v>
      </c>
      <c r="C239" t="s">
        <v>15</v>
      </c>
    </row>
    <row r="240" spans="1:3">
      <c r="A240" t="s">
        <v>19</v>
      </c>
      <c r="B240" t="s">
        <v>22</v>
      </c>
      <c r="C240" t="s">
        <v>15</v>
      </c>
    </row>
    <row r="241" spans="1:3">
      <c r="A241" t="s">
        <v>19</v>
      </c>
      <c r="B241" t="s">
        <v>23</v>
      </c>
      <c r="C241" t="s">
        <v>18</v>
      </c>
    </row>
    <row r="242" spans="1:3">
      <c r="A242" t="s">
        <v>19</v>
      </c>
      <c r="B242" t="s">
        <v>10</v>
      </c>
      <c r="C242" t="s">
        <v>15</v>
      </c>
    </row>
    <row r="243" spans="1:3">
      <c r="A243" t="s">
        <v>19</v>
      </c>
      <c r="B243" t="s">
        <v>23</v>
      </c>
      <c r="C243" t="s">
        <v>15</v>
      </c>
    </row>
    <row r="244" spans="1:3">
      <c r="A244" t="s">
        <v>19</v>
      </c>
      <c r="B244" t="s">
        <v>14</v>
      </c>
      <c r="C244" t="s">
        <v>18</v>
      </c>
    </row>
    <row r="245" spans="1:3">
      <c r="A245" t="s">
        <v>19</v>
      </c>
      <c r="B245" t="s">
        <v>23</v>
      </c>
      <c r="C245" t="s">
        <v>15</v>
      </c>
    </row>
    <row r="246" spans="1:3">
      <c r="A246" t="s">
        <v>19</v>
      </c>
      <c r="B246" t="s">
        <v>22</v>
      </c>
      <c r="C246" t="s">
        <v>18</v>
      </c>
    </row>
    <row r="247" spans="1:3">
      <c r="A247" t="s">
        <v>19</v>
      </c>
      <c r="B247" t="s">
        <v>23</v>
      </c>
      <c r="C247" t="s">
        <v>18</v>
      </c>
    </row>
    <row r="248" spans="1:3">
      <c r="A248" t="s">
        <v>19</v>
      </c>
      <c r="B248" t="s">
        <v>14</v>
      </c>
      <c r="C248" t="s">
        <v>18</v>
      </c>
    </row>
    <row r="249" spans="1:3">
      <c r="A249" t="s">
        <v>19</v>
      </c>
      <c r="B249" t="s">
        <v>22</v>
      </c>
      <c r="C249" t="s">
        <v>15</v>
      </c>
    </row>
    <row r="250" spans="1:3">
      <c r="A250" t="s">
        <v>19</v>
      </c>
      <c r="B250" t="s">
        <v>10</v>
      </c>
      <c r="C250" t="s">
        <v>15</v>
      </c>
    </row>
    <row r="251" spans="1:3">
      <c r="A251" t="s">
        <v>19</v>
      </c>
      <c r="B251" t="s">
        <v>23</v>
      </c>
      <c r="C251" t="s">
        <v>18</v>
      </c>
    </row>
  </sheetData>
  <sortState xmlns:xlrd2="http://schemas.microsoft.com/office/spreadsheetml/2017/richdata2" ref="A2:C251">
    <sortCondition ref="A1:A25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Summary</vt:lpstr>
      <vt:lpstr>Pivot Table</vt:lpstr>
      <vt:lpstr>Pivot Chart</vt:lpstr>
      <vt:lpstr>Bank_Transactions</vt:lpstr>
      <vt:lpstr>Branch_Summary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qusai rahhal</cp:lastModifiedBy>
  <dcterms:created xsi:type="dcterms:W3CDTF">2026-02-02T10:25:22Z</dcterms:created>
  <dcterms:modified xsi:type="dcterms:W3CDTF">2026-08-24T18:02:10Z</dcterms:modified>
</cp:coreProperties>
</file>